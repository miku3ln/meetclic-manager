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tclic\Documents\Peticiones 2019\PROCESOS\CATALOGOS ATS SRI 2019\"/>
    </mc:Choice>
  </mc:AlternateContent>
  <xr:revisionPtr revIDLastSave="0" documentId="13_ncr:1_{20B80598-FADE-4E31-882E-66C2D1318DD2}" xr6:coauthVersionLast="43" xr6:coauthVersionMax="43" xr10:uidLastSave="{00000000-0000-0000-0000-000000000000}"/>
  <bookViews>
    <workbookView xWindow="-19320" yWindow="630" windowWidth="19440" windowHeight="15000" firstSheet="1" activeTab="1" xr2:uid="{8FFB0583-6FF4-438F-B7EE-04FBD5CBC06F}"/>
  </bookViews>
  <sheets>
    <sheet name="PRODUCTOS" sheetId="2" r:id="rId1"/>
    <sheet name="FACTURA COMPRA" sheetId="5" r:id="rId2"/>
    <sheet name="COMPRAS" sheetId="1" r:id="rId3"/>
    <sheet name="VENTAS" sheetId="7" r:id="rId4"/>
    <sheet name="LIBRO DIARIO" sheetId="3" r:id="rId5"/>
    <sheet name="Hoja4" sheetId="8" r:id="rId6"/>
    <sheet name="KARDEX" sheetId="4" r:id="rId7"/>
  </sheets>
  <externalReferences>
    <externalReference r:id="rId8"/>
  </externalReferences>
  <definedNames>
    <definedName name="_xlnm._FilterDatabase" localSheetId="1" hidden="1">'FACTURA COMPRA'!$A$3:$H$39</definedName>
    <definedName name="_xlnm._FilterDatabase" localSheetId="6" hidden="1">KARDEX!$A$2:$M$102</definedName>
    <definedName name="ASIENTO_FAC_COMPRA_1">'LIBRO DIARIO'!$A$9</definedName>
    <definedName name="ASIENTO_FAC_COMPRA_10">'LIBRO DIARIO'!$A$64</definedName>
    <definedName name="ASIENTO_FAC_COMPRA_11">'LIBRO DIARIO'!$A$69</definedName>
    <definedName name="ASIENTO_FAC_COMPRA_12">'LIBRO DIARIO'!$A$76</definedName>
    <definedName name="ASIENTO_FAC_COMPRA_13">'LIBRO DIARIO'!$A$81</definedName>
    <definedName name="ASIENTO_FAC_COMPRA_14">'LIBRO DIARIO'!$A$86</definedName>
    <definedName name="ASIENTO_FAC_COMPRA_15">'LIBRO DIARIO'!$A$93</definedName>
    <definedName name="ASIENTO_FAC_COMPRA_16">'LIBRO DIARIO'!$A$100</definedName>
    <definedName name="ASIENTO_FAC_COMPRA_17">'LIBRO DIARIO'!$A$107</definedName>
    <definedName name="ASIENTO_FAC_COMPRA_18">'LIBRO DIARIO'!$A$116</definedName>
    <definedName name="ASIENTO_FAC_COMPRA_19">'LIBRO DIARIO'!$A$123</definedName>
    <definedName name="ASIENTO_FAC_COMPRA_2">'LIBRO DIARIO'!$A$14</definedName>
    <definedName name="ASIENTO_FAC_COMPRA_20">'LIBRO DIARIO'!$A$126</definedName>
    <definedName name="ASIENTO_FAC_COMPRA_21">'LIBRO DIARIO'!$A$131</definedName>
    <definedName name="ASIENTO_FAC_COMPRA_22">'LIBRO DIARIO'!$A$136</definedName>
    <definedName name="ASIENTO_FAC_COMPRA_23">'LIBRO DIARIO'!$A$141</definedName>
    <definedName name="ASIENTO_FAC_COMPRA_24">'LIBRO DIARIO'!$A$148</definedName>
    <definedName name="ASIENTO_FAC_COMPRA_25">'LIBRO DIARIO'!$A$153</definedName>
    <definedName name="ASIENTO_FAC_COMPRA_26">'LIBRO DIARIO'!$A$159</definedName>
    <definedName name="ASIENTO_FAC_COMPRA_27">'LIBRO DIARIO'!$A$167</definedName>
    <definedName name="ASIENTO_FAC_COMPRA_28">'LIBRO DIARIO'!$A$175</definedName>
    <definedName name="ASIENTO_FAC_COMPRA_29">'LIBRO DIARIO'!$A$183</definedName>
    <definedName name="ASIENTO_FAC_COMPRA_3">'LIBRO DIARIO'!$A$21</definedName>
    <definedName name="ASIENTO_FAC_COMPRA_30">'LIBRO DIARIO'!$A$193</definedName>
    <definedName name="ASIENTO_FAC_COMPRA_31">'LIBRO DIARIO'!$A$201</definedName>
    <definedName name="ASIENTO_FAC_COMPRA_32">'LIBRO DIARIO'!$A$205</definedName>
    <definedName name="ASIENTO_FAC_COMPRA_33">'LIBRO DIARIO'!$A$211</definedName>
    <definedName name="ASIENTO_FAC_COMPRA_34">'LIBRO DIARIO'!$A$217</definedName>
    <definedName name="ASIENTO_FAC_COMPRA_35">'LIBRO DIARIO'!$A$223</definedName>
    <definedName name="ASIENTO_FAC_COMPRA_36">'LIBRO DIARIO'!$A$231</definedName>
    <definedName name="ASIENTO_FAC_COMPRA_37">'LIBRO DIARIO'!$A$237</definedName>
    <definedName name="ASIENTO_FAC_COMPRA_38">'LIBRO DIARIO'!$A$243</definedName>
    <definedName name="ASIENTO_FAC_COMPRA_39">'LIBRO DIARIO'!$A$251</definedName>
    <definedName name="ASIENTO_FAC_COMPRA_4">'LIBRO DIARIO'!$A$28</definedName>
    <definedName name="ASIENTO_FAC_COMPRA_40">'LIBRO DIARIO'!$A$259</definedName>
    <definedName name="ASIENTO_FAC_COMPRA_41">'LIBRO DIARIO'!$A$267</definedName>
    <definedName name="ASIENTO_FAC_COMPRA_42">'LIBRO DIARIO'!$A$277</definedName>
    <definedName name="ASIENTO_FAC_COMPRA_5">'LIBRO DIARIO'!$A$35</definedName>
    <definedName name="ASIENTO_FAC_COMPRA_6">'LIBRO DIARIO'!$A$44</definedName>
    <definedName name="ASIENTO_FAC_COMPRA_7">'LIBRO DIARIO'!$A$51</definedName>
    <definedName name="ASIENTO_FAC_COMPRA_8">'LIBRO DIARIO'!$A$54</definedName>
    <definedName name="ASIENTO_FAC_COMPRA_9">'LIBRO DIARIO'!$A$59</definedName>
    <definedName name="FACTURA_COMPRA___1">COMPRAS!$C$6</definedName>
    <definedName name="FACTURA_COMPRA___10">COMPRAS!$C$251</definedName>
    <definedName name="FACTURA_COMPRA___11">COMPRAS!$C$274</definedName>
    <definedName name="FACTURA_COMPRA___12">COMPRAS!$C$303</definedName>
    <definedName name="FACTURA_COMPRA___13">COMPRAS!$C$329</definedName>
    <definedName name="FACTURA_COMPRA___14">COMPRAS!$C$357</definedName>
    <definedName name="FACTURA_COMPRA___15">COMPRAS!$C$385</definedName>
    <definedName name="FACTURA_COMPRA___16">COMPRAS!$C$413</definedName>
    <definedName name="FACTURA_COMPRA___17">COMPRAS!$C$441</definedName>
    <definedName name="FACTURA_COMPRA___18">COMPRAS!$C$474</definedName>
    <definedName name="FACTURA_COMPRA___19">COMPRAS!$C$505</definedName>
    <definedName name="FACTURA_COMPRA___2">COMPRAS!$C$34</definedName>
    <definedName name="FACTURA_COMPRA___20">COMPRAS!$C$528</definedName>
    <definedName name="FACTURA_COMPRA___21">COMPRAS!$C$551</definedName>
    <definedName name="FACTURA_COMPRA___22">COMPRAS!$C$574</definedName>
    <definedName name="FACTURA_COMPRA___23">COMPRAS!$C$597</definedName>
    <definedName name="FACTURA_COMPRA___24">COMPRAS!$C$626</definedName>
    <definedName name="FACTURA_COMPRA___25">COMPRAS!$C$652</definedName>
    <definedName name="FACTURA_COMPRA___26">COMPRAS!$C$680</definedName>
    <definedName name="FACTURA_COMPRA___27">COMPRAS!$C$708</definedName>
    <definedName name="FACTURA_COMPRA___28">COMPRAS!$C$736</definedName>
    <definedName name="FACTURA_COMPRA___29">COMPRAS!$C$764</definedName>
    <definedName name="FACTURA_COMPRA___3">COMPRAS!$C$62</definedName>
    <definedName name="FACTURA_COMPRA___30">COMPRAS!$C$797</definedName>
    <definedName name="FACTURA_COMPRA___31">COMPRAS!$C$828</definedName>
    <definedName name="FACTURA_COMPRA___32">COMPRAS!$C$851</definedName>
    <definedName name="FACTURA_COMPRA___33">COMPRAS!$C$874</definedName>
    <definedName name="FACTURA_COMPRA___34">COMPRAS!$C$897</definedName>
    <definedName name="FACTURA_COMPRA___35">COMPRAS!$C$920</definedName>
    <definedName name="FACTURA_COMPRA___36">COMPRAS!$C$948</definedName>
    <definedName name="FACTURA_COMPRA___37">COMPRAS!$C$974</definedName>
    <definedName name="FACTURA_COMPRA___38">COMPRAS!$C$1003</definedName>
    <definedName name="FACTURA_COMPRA___39">COMPRAS!$C$1032</definedName>
    <definedName name="FACTURA_COMPRA___4">COMPRAS!$C$90</definedName>
    <definedName name="FACTURA_COMPRA___40">COMPRAS!$C$1060</definedName>
    <definedName name="FACTURA_COMPRA___41">COMPRAS!$C$1089</definedName>
    <definedName name="FACTURA_COMPRA___42">COMPRAS!$C$1123</definedName>
    <definedName name="FACTURA_COMPRA___43">COMPRAS!$C$1156</definedName>
    <definedName name="FACTURA_COMPRA___44">COMPRAS!$C$1180</definedName>
    <definedName name="FACTURA_COMPRA___45">COMPRAS!$C$1204</definedName>
    <definedName name="FACTURA_COMPRA___46">COMPRAS!$C$1227</definedName>
    <definedName name="FACTURA_COMPRA___47">COMPRAS!$C$1251</definedName>
    <definedName name="FACTURA_COMPRA___48">COMPRAS!$C$1280</definedName>
    <definedName name="FACTURA_COMPRA___5">COMPRAS!$C$118</definedName>
    <definedName name="FACTURA_COMPRA___6">COMPRAS!$C$151</definedName>
    <definedName name="FACTURA_COMPRA___7">COMPRAS!$C$182</definedName>
    <definedName name="FACTURA_COMPRA___8">COMPRAS!$C$205</definedName>
    <definedName name="FACTURA_COMPRA___9">COMPRAS!$C$228</definedName>
    <definedName name="FACTURA_VENTA___1">VENTAS!$C$6</definedName>
    <definedName name="FACTURA_VENTA___2">VENTAS!$C$35</definedName>
    <definedName name="KARDEX_FAC_COMP_1">KARDEX!$A$3</definedName>
    <definedName name="KARDEX_FAC_COMP_10">KARDEX!$A$39</definedName>
    <definedName name="KARDEX_FAC_COMP_11">KARDEX!$A$43</definedName>
    <definedName name="KARDEX_FAC_COMP_12">KARDEX!$A$47</definedName>
    <definedName name="KARDEX_FAC_COMP_2">KARDEX!$A$7</definedName>
    <definedName name="KARDEX_FAC_COMP_25">KARDEX!$A$51</definedName>
    <definedName name="KARDEX_FAC_COMP_26">KARDEX!$A$55</definedName>
    <definedName name="KARDEX_FAC_COMP_27">KARDEX!$A$59</definedName>
    <definedName name="KARDEX_FAC_COMP_28">KARDEX!$A$63</definedName>
    <definedName name="KARDEX_FAC_COMP_29">KARDEX!$A$67</definedName>
    <definedName name="KARDEX_FAC_COMP_3">KARDEX!$A$11</definedName>
    <definedName name="KARDEX_FAC_COMP_30">KARDEX!$A$71</definedName>
    <definedName name="KARDEX_FAC_COMP_31">KARDEX!$A$75</definedName>
    <definedName name="KARDEX_FAC_COMP_32">KARDEX!$A$79</definedName>
    <definedName name="KARDEX_FAC_COMP_33">KARDEX!$A$83</definedName>
    <definedName name="KARDEX_FAC_COMP_34">KARDEX!$A$87</definedName>
    <definedName name="KARDEX_FAC_COMP_35">KARDEX!$A$91</definedName>
    <definedName name="KARDEX_FAC_COMP_36">KARDEX!$A$95</definedName>
    <definedName name="KARDEX_FAC_COMP_4">KARDEX!$A$15</definedName>
    <definedName name="KARDEX_FAC_COMP_5">KARDEX!$A$19</definedName>
    <definedName name="KARDEX_FAC_COMP_6">KARDEX!$A$23</definedName>
    <definedName name="KARDEX_FAC_COMP_7">KARDEX!$A$27</definedName>
    <definedName name="KARDEX_FAC_COMP_8">KARDEX!$A$31</definedName>
    <definedName name="KARDEX_FAC_COMP_9">KARDEX!$A$35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838" i="1" l="1"/>
  <c r="G19" i="5" l="1"/>
  <c r="B24" i="5"/>
  <c r="C32" i="7"/>
  <c r="I25" i="8"/>
  <c r="H25" i="8"/>
  <c r="I16" i="8"/>
  <c r="H16" i="8"/>
  <c r="G26" i="8"/>
  <c r="F25" i="8"/>
  <c r="D23" i="8"/>
  <c r="D20" i="8"/>
  <c r="D19" i="8"/>
  <c r="C25" i="8"/>
  <c r="C18" i="8"/>
  <c r="C23" i="8" s="1"/>
  <c r="B25" i="8"/>
  <c r="B18" i="8"/>
  <c r="B23" i="8" s="1"/>
  <c r="G17" i="8"/>
  <c r="F16" i="8"/>
  <c r="G15" i="8"/>
  <c r="F14" i="8"/>
  <c r="D14" i="8"/>
  <c r="G13" i="8"/>
  <c r="G12" i="8"/>
  <c r="F11" i="8"/>
  <c r="F10" i="8"/>
  <c r="F9" i="8"/>
  <c r="E11" i="8"/>
  <c r="E10" i="8"/>
  <c r="D11" i="8"/>
  <c r="D10" i="8"/>
  <c r="D9" i="8"/>
  <c r="B16" i="8"/>
  <c r="C16" i="8"/>
  <c r="C9" i="8"/>
  <c r="B9" i="8"/>
  <c r="I9" i="8"/>
  <c r="G6" i="8"/>
  <c r="G5" i="8"/>
  <c r="F4" i="8"/>
  <c r="F3" i="8"/>
  <c r="F2" i="8"/>
  <c r="C86" i="7"/>
  <c r="C85" i="7"/>
  <c r="C56" i="7"/>
  <c r="C57" i="7"/>
  <c r="H9" i="8" l="1"/>
  <c r="I2" i="8"/>
  <c r="H2" i="8"/>
  <c r="C2" i="8" l="1"/>
  <c r="C7" i="8" s="1"/>
  <c r="C100" i="4"/>
  <c r="G100" i="4"/>
  <c r="C101" i="4"/>
  <c r="G101" i="4"/>
  <c r="C102" i="4"/>
  <c r="G102" i="4"/>
  <c r="G99" i="4"/>
  <c r="C99" i="4"/>
  <c r="B99" i="4"/>
  <c r="A99" i="4"/>
  <c r="B2" i="8"/>
  <c r="B7" i="8" s="1"/>
  <c r="C27" i="7"/>
  <c r="D2" i="8"/>
  <c r="C28" i="7"/>
  <c r="F283" i="8" l="1"/>
  <c r="I282" i="8" s="1"/>
  <c r="D283" i="8"/>
  <c r="G282" i="8"/>
  <c r="H282" i="8" s="1"/>
  <c r="F281" i="8"/>
  <c r="F280" i="8"/>
  <c r="E280" i="8"/>
  <c r="D280" i="8"/>
  <c r="F279" i="8"/>
  <c r="E279" i="8"/>
  <c r="D279" i="8"/>
  <c r="G278" i="8"/>
  <c r="G277" i="8"/>
  <c r="E277" i="8"/>
  <c r="D277" i="8"/>
  <c r="G276" i="8"/>
  <c r="C276" i="8"/>
  <c r="C282" i="8" s="1"/>
  <c r="B276" i="8"/>
  <c r="B282" i="8" s="1"/>
  <c r="F275" i="8"/>
  <c r="D275" i="8"/>
  <c r="F274" i="8"/>
  <c r="D274" i="8"/>
  <c r="F273" i="8"/>
  <c r="D273" i="8"/>
  <c r="G272" i="8"/>
  <c r="H272" i="8" s="1"/>
  <c r="F271" i="8"/>
  <c r="F270" i="8"/>
  <c r="E270" i="8"/>
  <c r="D270" i="8"/>
  <c r="F269" i="8"/>
  <c r="E269" i="8"/>
  <c r="D269" i="8"/>
  <c r="G268" i="8"/>
  <c r="G267" i="8"/>
  <c r="E267" i="8"/>
  <c r="D267" i="8"/>
  <c r="G266" i="8"/>
  <c r="C266" i="8"/>
  <c r="C272" i="8" s="1"/>
  <c r="B266" i="8"/>
  <c r="B272" i="8" s="1"/>
  <c r="F265" i="8"/>
  <c r="I264" i="8" s="1"/>
  <c r="D265" i="8"/>
  <c r="G264" i="8"/>
  <c r="H264" i="8" s="1"/>
  <c r="F263" i="8"/>
  <c r="F262" i="8"/>
  <c r="E262" i="8"/>
  <c r="D262" i="8"/>
  <c r="F261" i="8"/>
  <c r="E261" i="8"/>
  <c r="D261" i="8"/>
  <c r="G260" i="8"/>
  <c r="G259" i="8"/>
  <c r="E259" i="8"/>
  <c r="D259" i="8"/>
  <c r="G258" i="8"/>
  <c r="C258" i="8"/>
  <c r="C264" i="8" s="1"/>
  <c r="B258" i="8"/>
  <c r="B264" i="8" s="1"/>
  <c r="F257" i="8"/>
  <c r="I256" i="8" s="1"/>
  <c r="D257" i="8"/>
  <c r="G256" i="8"/>
  <c r="H256" i="8" s="1"/>
  <c r="F255" i="8"/>
  <c r="F254" i="8"/>
  <c r="E254" i="8"/>
  <c r="D254" i="8"/>
  <c r="F253" i="8"/>
  <c r="E253" i="8"/>
  <c r="D253" i="8"/>
  <c r="G252" i="8"/>
  <c r="G251" i="8"/>
  <c r="E251" i="8"/>
  <c r="D251" i="8"/>
  <c r="G250" i="8"/>
  <c r="C250" i="8"/>
  <c r="C256" i="8" s="1"/>
  <c r="B250" i="8"/>
  <c r="B256" i="8" s="1"/>
  <c r="F249" i="8"/>
  <c r="I248" i="8" s="1"/>
  <c r="D249" i="8"/>
  <c r="G248" i="8"/>
  <c r="H248" i="8" s="1"/>
  <c r="F247" i="8"/>
  <c r="F246" i="8"/>
  <c r="E246" i="8"/>
  <c r="D246" i="8"/>
  <c r="F245" i="8"/>
  <c r="E245" i="8"/>
  <c r="D245" i="8"/>
  <c r="G244" i="8"/>
  <c r="G243" i="8"/>
  <c r="E243" i="8"/>
  <c r="D243" i="8"/>
  <c r="G242" i="8"/>
  <c r="C242" i="8"/>
  <c r="B242" i="8"/>
  <c r="B248" i="8" s="1"/>
  <c r="F241" i="8"/>
  <c r="F240" i="8"/>
  <c r="E240" i="8"/>
  <c r="D240" i="8"/>
  <c r="F239" i="8"/>
  <c r="E239" i="8"/>
  <c r="D239" i="8"/>
  <c r="G238" i="8"/>
  <c r="G237" i="8"/>
  <c r="E237" i="8"/>
  <c r="D237" i="8"/>
  <c r="G236" i="8"/>
  <c r="C236" i="8"/>
  <c r="B236" i="8"/>
  <c r="F235" i="8"/>
  <c r="I234" i="8" s="1"/>
  <c r="D235" i="8"/>
  <c r="G234" i="8"/>
  <c r="H234" i="8" s="1"/>
  <c r="F233" i="8"/>
  <c r="I230" i="8" s="1"/>
  <c r="G232" i="8"/>
  <c r="G231" i="8"/>
  <c r="E231" i="8"/>
  <c r="D231" i="8"/>
  <c r="G230" i="8"/>
  <c r="C230" i="8"/>
  <c r="C234" i="8" s="1"/>
  <c r="B230" i="8"/>
  <c r="B234" i="8" s="1"/>
  <c r="F229" i="8"/>
  <c r="D229" i="8"/>
  <c r="F228" i="8"/>
  <c r="D228" i="8"/>
  <c r="F227" i="8"/>
  <c r="D227" i="8"/>
  <c r="F225" i="8"/>
  <c r="G226" i="8" s="1"/>
  <c r="H226" i="8" s="1"/>
  <c r="G224" i="8"/>
  <c r="G223" i="8"/>
  <c r="E223" i="8"/>
  <c r="D223" i="8"/>
  <c r="G222" i="8"/>
  <c r="C222" i="8"/>
  <c r="C226" i="8" s="1"/>
  <c r="B222" i="8"/>
  <c r="B226" i="8" s="1"/>
  <c r="F221" i="8"/>
  <c r="I220" i="8" s="1"/>
  <c r="D221" i="8"/>
  <c r="F219" i="8"/>
  <c r="G220" i="8" s="1"/>
  <c r="H220" i="8" s="1"/>
  <c r="G218" i="8"/>
  <c r="G217" i="8"/>
  <c r="E217" i="8"/>
  <c r="D217" i="8"/>
  <c r="G216" i="8"/>
  <c r="C216" i="8"/>
  <c r="C220" i="8" s="1"/>
  <c r="B216" i="8"/>
  <c r="B220" i="8" s="1"/>
  <c r="F215" i="8"/>
  <c r="I214" i="8" s="1"/>
  <c r="D215" i="8"/>
  <c r="F213" i="8"/>
  <c r="G214" i="8" s="1"/>
  <c r="H214" i="8" s="1"/>
  <c r="G212" i="8"/>
  <c r="G211" i="8"/>
  <c r="E211" i="8"/>
  <c r="D211" i="8"/>
  <c r="G210" i="8"/>
  <c r="C210" i="8"/>
  <c r="C214" i="8" s="1"/>
  <c r="B210" i="8"/>
  <c r="B214" i="8" s="1"/>
  <c r="F209" i="8"/>
  <c r="I208" i="8" s="1"/>
  <c r="D209" i="8"/>
  <c r="F207" i="8"/>
  <c r="G208" i="8" s="1"/>
  <c r="H208" i="8" s="1"/>
  <c r="G206" i="8"/>
  <c r="G205" i="8"/>
  <c r="E205" i="8"/>
  <c r="D205" i="8"/>
  <c r="G204" i="8"/>
  <c r="C204" i="8"/>
  <c r="C208" i="8" s="1"/>
  <c r="B204" i="8"/>
  <c r="B208" i="8" s="1"/>
  <c r="F203" i="8"/>
  <c r="I200" i="8" s="1"/>
  <c r="G202" i="8"/>
  <c r="G201" i="8"/>
  <c r="E201" i="8"/>
  <c r="D201" i="8"/>
  <c r="G200" i="8"/>
  <c r="C200" i="8"/>
  <c r="B200" i="8"/>
  <c r="F199" i="8"/>
  <c r="I198" i="8" s="1"/>
  <c r="D199" i="8"/>
  <c r="G198" i="8"/>
  <c r="H198" i="8" s="1"/>
  <c r="F197" i="8"/>
  <c r="F196" i="8"/>
  <c r="E196" i="8"/>
  <c r="D196" i="8"/>
  <c r="F195" i="8"/>
  <c r="E195" i="8"/>
  <c r="D195" i="8"/>
  <c r="G194" i="8"/>
  <c r="G193" i="8"/>
  <c r="E193" i="8"/>
  <c r="D193" i="8"/>
  <c r="G192" i="8"/>
  <c r="C192" i="8"/>
  <c r="C198" i="8" s="1"/>
  <c r="B192" i="8"/>
  <c r="B198" i="8" s="1"/>
  <c r="F191" i="8"/>
  <c r="D191" i="8"/>
  <c r="F190" i="8"/>
  <c r="D190" i="8"/>
  <c r="F189" i="8"/>
  <c r="D189" i="8"/>
  <c r="F187" i="8"/>
  <c r="G188" i="8" s="1"/>
  <c r="H188" i="8" s="1"/>
  <c r="F186" i="8"/>
  <c r="E186" i="8"/>
  <c r="D186" i="8"/>
  <c r="F185" i="8"/>
  <c r="E185" i="8"/>
  <c r="D185" i="8"/>
  <c r="G184" i="8"/>
  <c r="G183" i="8"/>
  <c r="E183" i="8"/>
  <c r="D183" i="8"/>
  <c r="G182" i="8"/>
  <c r="C182" i="8"/>
  <c r="C188" i="8" s="1"/>
  <c r="B182" i="8"/>
  <c r="B188" i="8" s="1"/>
  <c r="F181" i="8"/>
  <c r="I180" i="8" s="1"/>
  <c r="D181" i="8"/>
  <c r="F179" i="8"/>
  <c r="G180" i="8" s="1"/>
  <c r="H180" i="8" s="1"/>
  <c r="F178" i="8"/>
  <c r="E178" i="8"/>
  <c r="D178" i="8"/>
  <c r="F177" i="8"/>
  <c r="E177" i="8"/>
  <c r="D177" i="8"/>
  <c r="G176" i="8"/>
  <c r="G175" i="8"/>
  <c r="E175" i="8"/>
  <c r="D175" i="8"/>
  <c r="G174" i="8"/>
  <c r="C174" i="8"/>
  <c r="C180" i="8" s="1"/>
  <c r="B174" i="8"/>
  <c r="B180" i="8" s="1"/>
  <c r="F173" i="8"/>
  <c r="I172" i="8" s="1"/>
  <c r="D173" i="8"/>
  <c r="F171" i="8"/>
  <c r="G172" i="8" s="1"/>
  <c r="H172" i="8" s="1"/>
  <c r="F170" i="8"/>
  <c r="E170" i="8"/>
  <c r="D170" i="8"/>
  <c r="F169" i="8"/>
  <c r="E169" i="8"/>
  <c r="D169" i="8"/>
  <c r="G168" i="8"/>
  <c r="G167" i="8"/>
  <c r="E167" i="8"/>
  <c r="D167" i="8"/>
  <c r="G166" i="8"/>
  <c r="C166" i="8"/>
  <c r="C172" i="8" s="1"/>
  <c r="B166" i="8"/>
  <c r="B172" i="8" s="1"/>
  <c r="F165" i="8"/>
  <c r="I164" i="8" s="1"/>
  <c r="D165" i="8"/>
  <c r="F163" i="8"/>
  <c r="G164" i="8" s="1"/>
  <c r="H164" i="8" s="1"/>
  <c r="F162" i="8"/>
  <c r="E162" i="8"/>
  <c r="D162" i="8"/>
  <c r="F161" i="8"/>
  <c r="E161" i="8"/>
  <c r="D161" i="8"/>
  <c r="G160" i="8"/>
  <c r="G159" i="8"/>
  <c r="E159" i="8"/>
  <c r="D159" i="8"/>
  <c r="G158" i="8"/>
  <c r="C158" i="8"/>
  <c r="C164" i="8" s="1"/>
  <c r="B158" i="8"/>
  <c r="B164" i="8" s="1"/>
  <c r="F157" i="8"/>
  <c r="F156" i="8"/>
  <c r="I152" i="8" s="1"/>
  <c r="E156" i="8"/>
  <c r="D156" i="8"/>
  <c r="F155" i="8"/>
  <c r="E155" i="8"/>
  <c r="D155" i="8"/>
  <c r="G154" i="8"/>
  <c r="G153" i="8"/>
  <c r="E153" i="8"/>
  <c r="D153" i="8"/>
  <c r="G152" i="8"/>
  <c r="C152" i="8"/>
  <c r="B152" i="8"/>
  <c r="F151" i="8"/>
  <c r="I150" i="8" s="1"/>
  <c r="D151" i="8"/>
  <c r="G150" i="8"/>
  <c r="H150" i="8" s="1"/>
  <c r="F149" i="8"/>
  <c r="I147" i="8" s="1"/>
  <c r="G148" i="8"/>
  <c r="G147" i="8"/>
  <c r="E147" i="8"/>
  <c r="D147" i="8"/>
  <c r="C147" i="8"/>
  <c r="C150" i="8" s="1"/>
  <c r="B147" i="8"/>
  <c r="B150" i="8" s="1"/>
  <c r="F146" i="8"/>
  <c r="D146" i="8"/>
  <c r="F145" i="8"/>
  <c r="D145" i="8"/>
  <c r="F144" i="8"/>
  <c r="D144" i="8"/>
  <c r="F142" i="8"/>
  <c r="G143" i="8" s="1"/>
  <c r="H143" i="8" s="1"/>
  <c r="G141" i="8"/>
  <c r="G140" i="8"/>
  <c r="E140" i="8"/>
  <c r="D140" i="8"/>
  <c r="C140" i="8"/>
  <c r="C143" i="8" s="1"/>
  <c r="B140" i="8"/>
  <c r="B143" i="8" s="1"/>
  <c r="F139" i="8"/>
  <c r="I138" i="8" s="1"/>
  <c r="D139" i="8"/>
  <c r="F137" i="8"/>
  <c r="G138" i="8" s="1"/>
  <c r="H138" i="8" s="1"/>
  <c r="G136" i="8"/>
  <c r="G135" i="8"/>
  <c r="H135" i="8" s="1"/>
  <c r="E135" i="8"/>
  <c r="D135" i="8"/>
  <c r="C135" i="8"/>
  <c r="C138" i="8" s="1"/>
  <c r="B135" i="8"/>
  <c r="B138" i="8" s="1"/>
  <c r="F134" i="8"/>
  <c r="I133" i="8" s="1"/>
  <c r="D134" i="8"/>
  <c r="F132" i="8"/>
  <c r="I130" i="8" s="1"/>
  <c r="G131" i="8"/>
  <c r="G130" i="8"/>
  <c r="E130" i="8"/>
  <c r="D130" i="8"/>
  <c r="C130" i="8"/>
  <c r="C133" i="8" s="1"/>
  <c r="B130" i="8"/>
  <c r="B133" i="8" s="1"/>
  <c r="F129" i="8"/>
  <c r="I128" i="8" s="1"/>
  <c r="D129" i="8"/>
  <c r="F127" i="8"/>
  <c r="G128" i="8" s="1"/>
  <c r="H128" i="8" s="1"/>
  <c r="G126" i="8"/>
  <c r="G125" i="8"/>
  <c r="E125" i="8"/>
  <c r="D125" i="8"/>
  <c r="C125" i="8"/>
  <c r="C128" i="8" s="1"/>
  <c r="B125" i="8"/>
  <c r="B128" i="8" s="1"/>
  <c r="F124" i="8"/>
  <c r="I122" i="8" s="1"/>
  <c r="G123" i="8"/>
  <c r="G122" i="8"/>
  <c r="E122" i="8"/>
  <c r="D122" i="8"/>
  <c r="C122" i="8"/>
  <c r="B122" i="8"/>
  <c r="F121" i="8"/>
  <c r="I120" i="8" s="1"/>
  <c r="D121" i="8"/>
  <c r="G120" i="8"/>
  <c r="H120" i="8" s="1"/>
  <c r="F119" i="8"/>
  <c r="F118" i="8"/>
  <c r="E118" i="8"/>
  <c r="D118" i="8"/>
  <c r="F117" i="8"/>
  <c r="E117" i="8"/>
  <c r="D117" i="8"/>
  <c r="G116" i="8"/>
  <c r="G115" i="8"/>
  <c r="E115" i="8"/>
  <c r="D115" i="8"/>
  <c r="C115" i="8"/>
  <c r="B115" i="8"/>
  <c r="B120" i="8" s="1"/>
  <c r="F114" i="8"/>
  <c r="D114" i="8"/>
  <c r="F113" i="8"/>
  <c r="D113" i="8"/>
  <c r="F112" i="8"/>
  <c r="D112" i="8"/>
  <c r="F110" i="8"/>
  <c r="G111" i="8" s="1"/>
  <c r="H111" i="8" s="1"/>
  <c r="F109" i="8"/>
  <c r="E109" i="8"/>
  <c r="D109" i="8"/>
  <c r="F108" i="8"/>
  <c r="E108" i="8"/>
  <c r="D108" i="8"/>
  <c r="G107" i="8"/>
  <c r="G106" i="8"/>
  <c r="E106" i="8"/>
  <c r="D106" i="8"/>
  <c r="C106" i="8"/>
  <c r="C111" i="8" s="1"/>
  <c r="B106" i="8"/>
  <c r="B111" i="8" s="1"/>
  <c r="F105" i="8"/>
  <c r="I104" i="8" s="1"/>
  <c r="D105" i="8"/>
  <c r="F103" i="8"/>
  <c r="G104" i="8" s="1"/>
  <c r="H104" i="8" s="1"/>
  <c r="F102" i="8"/>
  <c r="E102" i="8"/>
  <c r="D102" i="8"/>
  <c r="F101" i="8"/>
  <c r="E101" i="8"/>
  <c r="D101" i="8"/>
  <c r="G100" i="8"/>
  <c r="G99" i="8"/>
  <c r="E99" i="8"/>
  <c r="D99" i="8"/>
  <c r="C99" i="8"/>
  <c r="C104" i="8" s="1"/>
  <c r="B99" i="8"/>
  <c r="B104" i="8" s="1"/>
  <c r="F98" i="8"/>
  <c r="I97" i="8" s="1"/>
  <c r="D98" i="8"/>
  <c r="F96" i="8"/>
  <c r="G97" i="8" s="1"/>
  <c r="H97" i="8" s="1"/>
  <c r="F95" i="8"/>
  <c r="E95" i="8"/>
  <c r="D95" i="8"/>
  <c r="F94" i="8"/>
  <c r="E94" i="8"/>
  <c r="D94" i="8"/>
  <c r="G93" i="8"/>
  <c r="G92" i="8"/>
  <c r="E92" i="8"/>
  <c r="D92" i="8"/>
  <c r="C92" i="8"/>
  <c r="C97" i="8" s="1"/>
  <c r="B92" i="8"/>
  <c r="B97" i="8" s="1"/>
  <c r="F91" i="8"/>
  <c r="D91" i="8"/>
  <c r="F89" i="8"/>
  <c r="G90" i="8" s="1"/>
  <c r="H90" i="8" s="1"/>
  <c r="F88" i="8"/>
  <c r="E88" i="8"/>
  <c r="D88" i="8"/>
  <c r="F87" i="8"/>
  <c r="E87" i="8"/>
  <c r="D87" i="8"/>
  <c r="G86" i="8"/>
  <c r="G85" i="8"/>
  <c r="E85" i="8"/>
  <c r="D85" i="8"/>
  <c r="C85" i="8"/>
  <c r="C90" i="8" s="1"/>
  <c r="B85" i="8"/>
  <c r="B90" i="8" s="1"/>
  <c r="F84" i="8"/>
  <c r="F83" i="8"/>
  <c r="E83" i="8"/>
  <c r="D83" i="8"/>
  <c r="F82" i="8"/>
  <c r="E82" i="8"/>
  <c r="D82" i="8"/>
  <c r="G81" i="8"/>
  <c r="G80" i="8"/>
  <c r="E80" i="8"/>
  <c r="D80" i="8"/>
  <c r="C80" i="8"/>
  <c r="B80" i="8"/>
  <c r="F79" i="8"/>
  <c r="I78" i="8" s="1"/>
  <c r="D79" i="8"/>
  <c r="G78" i="8"/>
  <c r="H78" i="8" s="1"/>
  <c r="D78" i="8"/>
  <c r="F77" i="8"/>
  <c r="I75" i="8" s="1"/>
  <c r="G76" i="8"/>
  <c r="G75" i="8"/>
  <c r="C75" i="8"/>
  <c r="C78" i="8" s="1"/>
  <c r="B75" i="8"/>
  <c r="B78" i="8" s="1"/>
  <c r="F74" i="8"/>
  <c r="D74" i="8"/>
  <c r="F73" i="8"/>
  <c r="D73" i="8"/>
  <c r="F72" i="8"/>
  <c r="D72" i="8"/>
  <c r="F70" i="8"/>
  <c r="I68" i="8" s="1"/>
  <c r="G69" i="8"/>
  <c r="G68" i="8"/>
  <c r="C68" i="8"/>
  <c r="C71" i="8" s="1"/>
  <c r="B68" i="8"/>
  <c r="B71" i="8" s="1"/>
  <c r="F67" i="8"/>
  <c r="I66" i="8" s="1"/>
  <c r="D67" i="8"/>
  <c r="F65" i="8"/>
  <c r="G66" i="8" s="1"/>
  <c r="H66" i="8" s="1"/>
  <c r="G64" i="8"/>
  <c r="G63" i="8"/>
  <c r="C63" i="8"/>
  <c r="C66" i="8" s="1"/>
  <c r="B63" i="8"/>
  <c r="B66" i="8" s="1"/>
  <c r="F62" i="8"/>
  <c r="I61" i="8" s="1"/>
  <c r="F60" i="8"/>
  <c r="G61" i="8" s="1"/>
  <c r="H61" i="8" s="1"/>
  <c r="G59" i="8"/>
  <c r="G58" i="8"/>
  <c r="C58" i="8"/>
  <c r="C61" i="8" s="1"/>
  <c r="B58" i="8"/>
  <c r="B61" i="8" s="1"/>
  <c r="F57" i="8"/>
  <c r="I56" i="8" s="1"/>
  <c r="D57" i="8"/>
  <c r="G56" i="8"/>
  <c r="H56" i="8" s="1"/>
  <c r="F55" i="8"/>
  <c r="I53" i="8" s="1"/>
  <c r="G54" i="8"/>
  <c r="G53" i="8"/>
  <c r="C53" i="8"/>
  <c r="C56" i="8" s="1"/>
  <c r="B53" i="8"/>
  <c r="B56" i="8" s="1"/>
  <c r="F52" i="8"/>
  <c r="I50" i="8" s="1"/>
  <c r="G51" i="8"/>
  <c r="G50" i="8"/>
  <c r="C50" i="8"/>
  <c r="B50" i="8"/>
  <c r="F49" i="8"/>
  <c r="I48" i="8" s="1"/>
  <c r="D49" i="8"/>
  <c r="G48" i="8"/>
  <c r="H48" i="8" s="1"/>
  <c r="F47" i="8"/>
  <c r="F46" i="8"/>
  <c r="E46" i="8"/>
  <c r="D46" i="8"/>
  <c r="F45" i="8"/>
  <c r="E45" i="8"/>
  <c r="D45" i="8"/>
  <c r="G44" i="8"/>
  <c r="G43" i="8"/>
  <c r="C43" i="8"/>
  <c r="C48" i="8" s="1"/>
  <c r="B43" i="8"/>
  <c r="B48" i="8" s="1"/>
  <c r="F42" i="8"/>
  <c r="D42" i="8"/>
  <c r="F41" i="8"/>
  <c r="D41" i="8"/>
  <c r="F40" i="8"/>
  <c r="D40" i="8"/>
  <c r="F38" i="8"/>
  <c r="G39" i="8" s="1"/>
  <c r="H39" i="8" s="1"/>
  <c r="F37" i="8"/>
  <c r="E37" i="8"/>
  <c r="D37" i="8"/>
  <c r="F36" i="8"/>
  <c r="E36" i="8"/>
  <c r="D36" i="8"/>
  <c r="G35" i="8"/>
  <c r="G34" i="8"/>
  <c r="C34" i="8"/>
  <c r="C39" i="8" s="1"/>
  <c r="B34" i="8"/>
  <c r="B39" i="8" s="1"/>
  <c r="F33" i="8"/>
  <c r="I32" i="8" s="1"/>
  <c r="D33" i="8"/>
  <c r="F31" i="8"/>
  <c r="G32" i="8" s="1"/>
  <c r="H32" i="8" s="1"/>
  <c r="F30" i="8"/>
  <c r="E30" i="8"/>
  <c r="D30" i="8"/>
  <c r="F29" i="8"/>
  <c r="E29" i="8"/>
  <c r="D29" i="8"/>
  <c r="G28" i="8"/>
  <c r="G27" i="8"/>
  <c r="C27" i="8"/>
  <c r="C32" i="8" s="1"/>
  <c r="B27" i="8"/>
  <c r="B32" i="8" s="1"/>
  <c r="C14" i="8"/>
  <c r="B14" i="8"/>
  <c r="E4" i="8"/>
  <c r="D4" i="8"/>
  <c r="E3" i="8"/>
  <c r="D3" i="8"/>
  <c r="C248" i="8"/>
  <c r="C120" i="8"/>
  <c r="I90" i="8"/>
  <c r="C1305" i="7"/>
  <c r="C1304" i="7"/>
  <c r="J1292" i="7"/>
  <c r="I1292" i="7"/>
  <c r="J1291" i="7"/>
  <c r="I1291" i="7"/>
  <c r="J1290" i="7"/>
  <c r="I1290" i="7"/>
  <c r="J1289" i="7"/>
  <c r="I1289" i="7"/>
  <c r="J1288" i="7"/>
  <c r="I1288" i="7"/>
  <c r="J1287" i="7"/>
  <c r="I1287" i="7"/>
  <c r="J1286" i="7"/>
  <c r="I1286" i="7"/>
  <c r="J1263" i="7"/>
  <c r="I1263" i="7"/>
  <c r="J1262" i="7"/>
  <c r="I1262" i="7"/>
  <c r="J1261" i="7"/>
  <c r="I1261" i="7"/>
  <c r="J1260" i="7"/>
  <c r="I1260" i="7"/>
  <c r="J1259" i="7"/>
  <c r="I1259" i="7"/>
  <c r="J1258" i="7"/>
  <c r="I1258" i="7"/>
  <c r="J1257" i="7"/>
  <c r="I1257" i="7"/>
  <c r="J1239" i="7"/>
  <c r="I1239" i="7"/>
  <c r="J1238" i="7"/>
  <c r="I1238" i="7"/>
  <c r="J1237" i="7"/>
  <c r="I1237" i="7"/>
  <c r="J1236" i="7"/>
  <c r="E1241" i="7" s="1"/>
  <c r="I1236" i="7"/>
  <c r="J1235" i="7"/>
  <c r="I1235" i="7"/>
  <c r="J1234" i="7"/>
  <c r="I1234" i="7"/>
  <c r="J1233" i="7"/>
  <c r="I1233" i="7"/>
  <c r="K1216" i="7"/>
  <c r="M1216" i="7" s="1"/>
  <c r="N1216" i="7" s="1"/>
  <c r="J1216" i="7"/>
  <c r="O1216" i="7" s="1"/>
  <c r="I1216" i="7"/>
  <c r="K1215" i="7"/>
  <c r="J1215" i="7"/>
  <c r="I1215" i="7"/>
  <c r="K1214" i="7"/>
  <c r="J1214" i="7"/>
  <c r="I1214" i="7"/>
  <c r="K1213" i="7"/>
  <c r="J1213" i="7"/>
  <c r="I1213" i="7"/>
  <c r="K1212" i="7"/>
  <c r="M1212" i="7" s="1"/>
  <c r="N1212" i="7" s="1"/>
  <c r="J1212" i="7"/>
  <c r="I1212" i="7"/>
  <c r="N1211" i="7"/>
  <c r="K1211" i="7"/>
  <c r="J1211" i="7"/>
  <c r="M1211" i="7" s="1"/>
  <c r="I1211" i="7"/>
  <c r="K1210" i="7"/>
  <c r="M1210" i="7" s="1"/>
  <c r="J1210" i="7"/>
  <c r="I1210" i="7"/>
  <c r="E1193" i="7"/>
  <c r="K1192" i="7"/>
  <c r="J1192" i="7"/>
  <c r="I1192" i="7"/>
  <c r="K1191" i="7"/>
  <c r="J1191" i="7"/>
  <c r="I1191" i="7"/>
  <c r="K1190" i="7"/>
  <c r="J1190" i="7"/>
  <c r="I1190" i="7"/>
  <c r="K1189" i="7"/>
  <c r="J1189" i="7"/>
  <c r="I1189" i="7"/>
  <c r="K1188" i="7"/>
  <c r="J1188" i="7"/>
  <c r="I1188" i="7"/>
  <c r="K1187" i="7"/>
  <c r="J1187" i="7"/>
  <c r="M1187" i="7" s="1"/>
  <c r="N1187" i="7" s="1"/>
  <c r="I1187" i="7"/>
  <c r="K1186" i="7"/>
  <c r="J1186" i="7"/>
  <c r="I1186" i="7"/>
  <c r="K1168" i="7"/>
  <c r="J1168" i="7"/>
  <c r="I1168" i="7"/>
  <c r="K1167" i="7"/>
  <c r="J1167" i="7"/>
  <c r="I1167" i="7"/>
  <c r="K1166" i="7"/>
  <c r="J1166" i="7"/>
  <c r="I1166" i="7"/>
  <c r="K1165" i="7"/>
  <c r="J1165" i="7"/>
  <c r="I1165" i="7"/>
  <c r="K1164" i="7"/>
  <c r="J1164" i="7"/>
  <c r="I1164" i="7"/>
  <c r="N1163" i="7"/>
  <c r="K1163" i="7"/>
  <c r="J1163" i="7"/>
  <c r="M1163" i="7" s="1"/>
  <c r="I1163" i="7"/>
  <c r="K1162" i="7"/>
  <c r="J1162" i="7"/>
  <c r="I1162" i="7"/>
  <c r="C1148" i="7"/>
  <c r="C1147" i="7"/>
  <c r="M1135" i="7"/>
  <c r="J1135" i="7"/>
  <c r="I1135" i="7"/>
  <c r="M1134" i="7"/>
  <c r="J1134" i="7"/>
  <c r="I1134" i="7"/>
  <c r="K1134" i="7" s="1"/>
  <c r="M1133" i="7"/>
  <c r="J1133" i="7"/>
  <c r="N1133" i="7" s="1"/>
  <c r="O1133" i="7" s="1"/>
  <c r="I1133" i="7"/>
  <c r="K1133" i="7" s="1"/>
  <c r="M1132" i="7"/>
  <c r="J1132" i="7"/>
  <c r="N1132" i="7" s="1"/>
  <c r="I1132" i="7"/>
  <c r="K1132" i="7" s="1"/>
  <c r="M1131" i="7"/>
  <c r="J1131" i="7"/>
  <c r="I1131" i="7"/>
  <c r="M1130" i="7"/>
  <c r="J1130" i="7"/>
  <c r="K1130" i="7" s="1"/>
  <c r="I1130" i="7"/>
  <c r="M1129" i="7"/>
  <c r="J1129" i="7"/>
  <c r="I1129" i="7"/>
  <c r="E1136" i="7" s="1"/>
  <c r="C1114" i="7"/>
  <c r="C1113" i="7"/>
  <c r="E1104" i="7"/>
  <c r="N1101" i="7"/>
  <c r="M1101" i="7"/>
  <c r="K1101" i="7"/>
  <c r="J1101" i="7"/>
  <c r="O1101" i="7" s="1"/>
  <c r="I1101" i="7"/>
  <c r="N1100" i="7"/>
  <c r="M1100" i="7"/>
  <c r="K1100" i="7"/>
  <c r="J1100" i="7"/>
  <c r="I1100" i="7"/>
  <c r="O1100" i="7" s="1"/>
  <c r="N1099" i="7"/>
  <c r="M1099" i="7"/>
  <c r="K1099" i="7"/>
  <c r="J1099" i="7"/>
  <c r="I1099" i="7"/>
  <c r="O1099" i="7" s="1"/>
  <c r="N1098" i="7"/>
  <c r="M1098" i="7"/>
  <c r="J1098" i="7"/>
  <c r="I1098" i="7"/>
  <c r="E1102" i="7" s="1"/>
  <c r="L1112" i="7" s="1"/>
  <c r="N1097" i="7"/>
  <c r="M1097" i="7"/>
  <c r="K1097" i="7"/>
  <c r="J1097" i="7"/>
  <c r="O1097" i="7" s="1"/>
  <c r="I1097" i="7"/>
  <c r="N1096" i="7"/>
  <c r="M1096" i="7"/>
  <c r="K1096" i="7"/>
  <c r="J1096" i="7"/>
  <c r="E1103" i="7" s="1"/>
  <c r="I1096" i="7"/>
  <c r="N1095" i="7"/>
  <c r="M1095" i="7"/>
  <c r="K1095" i="7"/>
  <c r="J1095" i="7"/>
  <c r="O1095" i="7" s="1"/>
  <c r="I1095" i="7"/>
  <c r="C1085" i="7"/>
  <c r="C1084" i="7"/>
  <c r="N1072" i="7"/>
  <c r="M1072" i="7"/>
  <c r="K1072" i="7"/>
  <c r="J1072" i="7"/>
  <c r="O1072" i="7" s="1"/>
  <c r="I1072" i="7"/>
  <c r="N1071" i="7"/>
  <c r="M1071" i="7"/>
  <c r="J1071" i="7"/>
  <c r="I1071" i="7"/>
  <c r="N1070" i="7"/>
  <c r="M1070" i="7"/>
  <c r="J1070" i="7"/>
  <c r="I1070" i="7"/>
  <c r="O1070" i="7" s="1"/>
  <c r="N1069" i="7"/>
  <c r="M1069" i="7"/>
  <c r="K1069" i="7"/>
  <c r="J1069" i="7"/>
  <c r="I1069" i="7"/>
  <c r="O1069" i="7" s="1"/>
  <c r="N1068" i="7"/>
  <c r="M1068" i="7"/>
  <c r="K1068" i="7"/>
  <c r="J1068" i="7"/>
  <c r="O1068" i="7" s="1"/>
  <c r="I1068" i="7"/>
  <c r="N1067" i="7"/>
  <c r="M1067" i="7"/>
  <c r="E1075" i="7" s="1"/>
  <c r="K1067" i="7"/>
  <c r="J1067" i="7"/>
  <c r="I1067" i="7"/>
  <c r="M1066" i="7"/>
  <c r="K1066" i="7"/>
  <c r="J1066" i="7"/>
  <c r="E1074" i="7" s="1"/>
  <c r="I1066" i="7"/>
  <c r="C1056" i="7"/>
  <c r="C1055" i="7"/>
  <c r="N1044" i="7"/>
  <c r="M1044" i="7"/>
  <c r="J1044" i="7"/>
  <c r="I1044" i="7"/>
  <c r="J1043" i="7"/>
  <c r="I1043" i="7"/>
  <c r="J1042" i="7"/>
  <c r="I1042" i="7"/>
  <c r="J1041" i="7"/>
  <c r="I1041" i="7"/>
  <c r="M1040" i="7"/>
  <c r="J1040" i="7"/>
  <c r="I1040" i="7"/>
  <c r="N1039" i="7"/>
  <c r="M1039" i="7"/>
  <c r="J1039" i="7"/>
  <c r="I1039" i="7"/>
  <c r="O1038" i="7"/>
  <c r="N1038" i="7"/>
  <c r="M1038" i="7"/>
  <c r="J1038" i="7"/>
  <c r="E1046" i="7" s="1"/>
  <c r="I1038" i="7"/>
  <c r="E1045" i="7" s="1"/>
  <c r="C1028" i="7"/>
  <c r="C1027" i="7"/>
  <c r="J1015" i="7"/>
  <c r="I1015" i="7"/>
  <c r="M1014" i="7"/>
  <c r="N1014" i="7" s="1"/>
  <c r="J1014" i="7"/>
  <c r="I1014" i="7"/>
  <c r="N1013" i="7"/>
  <c r="M1013" i="7"/>
  <c r="J1013" i="7"/>
  <c r="I1013" i="7"/>
  <c r="O1013" i="7" s="1"/>
  <c r="J1012" i="7"/>
  <c r="I1012" i="7"/>
  <c r="J1011" i="7"/>
  <c r="I1011" i="7"/>
  <c r="M1010" i="7"/>
  <c r="J1010" i="7"/>
  <c r="I1010" i="7"/>
  <c r="N1009" i="7"/>
  <c r="M1009" i="7"/>
  <c r="J1009" i="7"/>
  <c r="I1009" i="7"/>
  <c r="C999" i="7"/>
  <c r="C998" i="7"/>
  <c r="O986" i="7"/>
  <c r="J986" i="7"/>
  <c r="M986" i="7" s="1"/>
  <c r="N986" i="7" s="1"/>
  <c r="I986" i="7"/>
  <c r="J985" i="7"/>
  <c r="I985" i="7"/>
  <c r="M984" i="7"/>
  <c r="J984" i="7"/>
  <c r="I984" i="7"/>
  <c r="O984" i="7" s="1"/>
  <c r="N983" i="7"/>
  <c r="M983" i="7"/>
  <c r="J983" i="7"/>
  <c r="I983" i="7"/>
  <c r="O983" i="7" s="1"/>
  <c r="O982" i="7"/>
  <c r="J982" i="7"/>
  <c r="M982" i="7" s="1"/>
  <c r="N982" i="7" s="1"/>
  <c r="I982" i="7"/>
  <c r="J981" i="7"/>
  <c r="I981" i="7"/>
  <c r="M980" i="7"/>
  <c r="J980" i="7"/>
  <c r="I980" i="7"/>
  <c r="E987" i="7" s="1"/>
  <c r="M958" i="7"/>
  <c r="J958" i="7"/>
  <c r="I958" i="7"/>
  <c r="N957" i="7"/>
  <c r="M957" i="7"/>
  <c r="J957" i="7"/>
  <c r="O957" i="7" s="1"/>
  <c r="I957" i="7"/>
  <c r="J956" i="7"/>
  <c r="M956" i="7" s="1"/>
  <c r="N956" i="7" s="1"/>
  <c r="I956" i="7"/>
  <c r="J955" i="7"/>
  <c r="E961" i="7" s="1"/>
  <c r="I955" i="7"/>
  <c r="M954" i="7"/>
  <c r="J954" i="7"/>
  <c r="I954" i="7"/>
  <c r="N930" i="7"/>
  <c r="M930" i="7"/>
  <c r="J930" i="7"/>
  <c r="I930" i="7"/>
  <c r="O929" i="7"/>
  <c r="J929" i="7"/>
  <c r="M929" i="7" s="1"/>
  <c r="N929" i="7" s="1"/>
  <c r="I929" i="7"/>
  <c r="J928" i="7"/>
  <c r="I928" i="7"/>
  <c r="M927" i="7"/>
  <c r="J927" i="7"/>
  <c r="I927" i="7"/>
  <c r="N926" i="7"/>
  <c r="M926" i="7"/>
  <c r="J926" i="7"/>
  <c r="I926" i="7"/>
  <c r="E932" i="7" s="1"/>
  <c r="E910" i="7"/>
  <c r="M907" i="7"/>
  <c r="J907" i="7"/>
  <c r="I907" i="7"/>
  <c r="N906" i="7"/>
  <c r="M906" i="7"/>
  <c r="J906" i="7"/>
  <c r="I906" i="7"/>
  <c r="O905" i="7"/>
  <c r="N905" i="7"/>
  <c r="M905" i="7"/>
  <c r="J905" i="7"/>
  <c r="I905" i="7"/>
  <c r="J904" i="7"/>
  <c r="I904" i="7"/>
  <c r="M903" i="7"/>
  <c r="J903" i="7"/>
  <c r="I903" i="7"/>
  <c r="E886" i="7"/>
  <c r="J884" i="7"/>
  <c r="I884" i="7"/>
  <c r="M883" i="7"/>
  <c r="J883" i="7"/>
  <c r="I883" i="7"/>
  <c r="N882" i="7"/>
  <c r="M882" i="7"/>
  <c r="J882" i="7"/>
  <c r="O882" i="7" s="1"/>
  <c r="I882" i="7"/>
  <c r="J881" i="7"/>
  <c r="M881" i="7" s="1"/>
  <c r="N881" i="7" s="1"/>
  <c r="I881" i="7"/>
  <c r="J880" i="7"/>
  <c r="I880" i="7"/>
  <c r="O861" i="7"/>
  <c r="N861" i="7"/>
  <c r="J861" i="7"/>
  <c r="M861" i="7" s="1"/>
  <c r="I861" i="7"/>
  <c r="J860" i="7"/>
  <c r="I860" i="7"/>
  <c r="J859" i="7"/>
  <c r="I859" i="7"/>
  <c r="M858" i="7"/>
  <c r="N858" i="7" s="1"/>
  <c r="J858" i="7"/>
  <c r="O858" i="7" s="1"/>
  <c r="I858" i="7"/>
  <c r="J857" i="7"/>
  <c r="I857" i="7"/>
  <c r="E863" i="7" s="1"/>
  <c r="N838" i="7"/>
  <c r="M838" i="7"/>
  <c r="J838" i="7"/>
  <c r="I838" i="7"/>
  <c r="J837" i="7"/>
  <c r="M837" i="7" s="1"/>
  <c r="N837" i="7" s="1"/>
  <c r="O837" i="7" s="1"/>
  <c r="I837" i="7"/>
  <c r="J836" i="7"/>
  <c r="I836" i="7"/>
  <c r="O835" i="7"/>
  <c r="J835" i="7"/>
  <c r="M835" i="7" s="1"/>
  <c r="N835" i="7" s="1"/>
  <c r="I835" i="7"/>
  <c r="J834" i="7"/>
  <c r="E841" i="7" s="1"/>
  <c r="I834" i="7"/>
  <c r="C821" i="7"/>
  <c r="C820" i="7"/>
  <c r="N807" i="7"/>
  <c r="M807" i="7"/>
  <c r="J807" i="7"/>
  <c r="I807" i="7"/>
  <c r="O806" i="7"/>
  <c r="J806" i="7"/>
  <c r="M806" i="7" s="1"/>
  <c r="N806" i="7" s="1"/>
  <c r="I806" i="7"/>
  <c r="J805" i="7"/>
  <c r="I805" i="7"/>
  <c r="M804" i="7"/>
  <c r="J804" i="7"/>
  <c r="E810" i="7" s="1"/>
  <c r="I804" i="7"/>
  <c r="N803" i="7"/>
  <c r="M803" i="7"/>
  <c r="J803" i="7"/>
  <c r="I803" i="7"/>
  <c r="C788" i="7"/>
  <c r="C787" i="7"/>
  <c r="M774" i="7"/>
  <c r="J774" i="7"/>
  <c r="I774" i="7"/>
  <c r="N773" i="7"/>
  <c r="M773" i="7"/>
  <c r="J773" i="7"/>
  <c r="I773" i="7"/>
  <c r="O772" i="7"/>
  <c r="J772" i="7"/>
  <c r="M772" i="7" s="1"/>
  <c r="N772" i="7" s="1"/>
  <c r="I772" i="7"/>
  <c r="J771" i="7"/>
  <c r="E777" i="7" s="1"/>
  <c r="I771" i="7"/>
  <c r="M770" i="7"/>
  <c r="J770" i="7"/>
  <c r="I770" i="7"/>
  <c r="C760" i="7"/>
  <c r="C759" i="7"/>
  <c r="N746" i="7"/>
  <c r="M746" i="7"/>
  <c r="J746" i="7"/>
  <c r="I746" i="7"/>
  <c r="O745" i="7"/>
  <c r="J745" i="7"/>
  <c r="M745" i="7" s="1"/>
  <c r="N745" i="7" s="1"/>
  <c r="I745" i="7"/>
  <c r="J744" i="7"/>
  <c r="I744" i="7"/>
  <c r="M743" i="7"/>
  <c r="J743" i="7"/>
  <c r="E749" i="7" s="1"/>
  <c r="I743" i="7"/>
  <c r="N742" i="7"/>
  <c r="M742" i="7"/>
  <c r="J742" i="7"/>
  <c r="I742" i="7"/>
  <c r="C732" i="7"/>
  <c r="C731" i="7"/>
  <c r="O718" i="7"/>
  <c r="N718" i="7"/>
  <c r="M718" i="7"/>
  <c r="J718" i="7"/>
  <c r="I718" i="7"/>
  <c r="J717" i="7"/>
  <c r="I717" i="7"/>
  <c r="M716" i="7"/>
  <c r="J716" i="7"/>
  <c r="I716" i="7"/>
  <c r="N715" i="7"/>
  <c r="M715" i="7"/>
  <c r="J715" i="7"/>
  <c r="I715" i="7"/>
  <c r="O714" i="7"/>
  <c r="N714" i="7"/>
  <c r="M714" i="7"/>
  <c r="J714" i="7"/>
  <c r="E721" i="7" s="1"/>
  <c r="I714" i="7"/>
  <c r="E720" i="7" s="1"/>
  <c r="C704" i="7"/>
  <c r="C703" i="7"/>
  <c r="J690" i="7"/>
  <c r="I690" i="7"/>
  <c r="M689" i="7"/>
  <c r="J689" i="7"/>
  <c r="I689" i="7"/>
  <c r="N688" i="7"/>
  <c r="M688" i="7"/>
  <c r="J688" i="7"/>
  <c r="I688" i="7"/>
  <c r="O687" i="7"/>
  <c r="J687" i="7"/>
  <c r="M687" i="7" s="1"/>
  <c r="N687" i="7" s="1"/>
  <c r="I687" i="7"/>
  <c r="E692" i="7" s="1"/>
  <c r="J686" i="7"/>
  <c r="I686" i="7"/>
  <c r="C676" i="7"/>
  <c r="C675" i="7"/>
  <c r="E665" i="7"/>
  <c r="M662" i="7"/>
  <c r="J662" i="7"/>
  <c r="I662" i="7"/>
  <c r="N661" i="7"/>
  <c r="M661" i="7"/>
  <c r="J661" i="7"/>
  <c r="I661" i="7"/>
  <c r="O660" i="7"/>
  <c r="J660" i="7"/>
  <c r="M660" i="7" s="1"/>
  <c r="N660" i="7" s="1"/>
  <c r="I660" i="7"/>
  <c r="J659" i="7"/>
  <c r="I659" i="7"/>
  <c r="E664" i="7" s="1"/>
  <c r="M658" i="7"/>
  <c r="J658" i="7"/>
  <c r="I658" i="7"/>
  <c r="E639" i="7"/>
  <c r="E638" i="7"/>
  <c r="M632" i="7"/>
  <c r="E640" i="7" s="1"/>
  <c r="J632" i="7"/>
  <c r="I632" i="7"/>
  <c r="C617" i="7"/>
  <c r="E611" i="7"/>
  <c r="E610" i="7"/>
  <c r="N603" i="7"/>
  <c r="E612" i="7" s="1"/>
  <c r="M603" i="7"/>
  <c r="J603" i="7"/>
  <c r="I603" i="7"/>
  <c r="E609" i="7" s="1"/>
  <c r="E587" i="7"/>
  <c r="E586" i="7"/>
  <c r="N580" i="7"/>
  <c r="E589" i="7" s="1"/>
  <c r="M580" i="7"/>
  <c r="E588" i="7" s="1"/>
  <c r="J580" i="7"/>
  <c r="I580" i="7"/>
  <c r="E563" i="7"/>
  <c r="M557" i="7"/>
  <c r="E565" i="7" s="1"/>
  <c r="J557" i="7"/>
  <c r="E564" i="7" s="1"/>
  <c r="I557" i="7"/>
  <c r="J534" i="7"/>
  <c r="I534" i="7"/>
  <c r="E540" i="7" s="1"/>
  <c r="J511" i="7"/>
  <c r="E518" i="7" s="1"/>
  <c r="I511" i="7"/>
  <c r="E517" i="7" s="1"/>
  <c r="C498" i="7"/>
  <c r="C497" i="7"/>
  <c r="E486" i="7"/>
  <c r="J480" i="7"/>
  <c r="M480" i="7" s="1"/>
  <c r="E488" i="7" s="1"/>
  <c r="I480" i="7"/>
  <c r="C465" i="7"/>
  <c r="C464" i="7"/>
  <c r="M447" i="7"/>
  <c r="E455" i="7" s="1"/>
  <c r="J447" i="7"/>
  <c r="I447" i="7"/>
  <c r="E453" i="7" s="1"/>
  <c r="C437" i="7"/>
  <c r="C436" i="7"/>
  <c r="L434" i="7"/>
  <c r="E425" i="7"/>
  <c r="N419" i="7"/>
  <c r="E428" i="7" s="1"/>
  <c r="M419" i="7"/>
  <c r="E427" i="7" s="1"/>
  <c r="J419" i="7"/>
  <c r="I419" i="7"/>
  <c r="C409" i="7"/>
  <c r="C408" i="7"/>
  <c r="N393" i="7"/>
  <c r="M393" i="7"/>
  <c r="J393" i="7"/>
  <c r="O393" i="7" s="1"/>
  <c r="I393" i="7"/>
  <c r="O392" i="7"/>
  <c r="N392" i="7"/>
  <c r="M392" i="7"/>
  <c r="J392" i="7"/>
  <c r="I392" i="7"/>
  <c r="J391" i="7"/>
  <c r="E398" i="7" s="1"/>
  <c r="I391" i="7"/>
  <c r="E397" i="7" s="1"/>
  <c r="C381" i="7"/>
  <c r="C380" i="7"/>
  <c r="E370" i="7"/>
  <c r="M365" i="7"/>
  <c r="J365" i="7"/>
  <c r="I365" i="7"/>
  <c r="N364" i="7"/>
  <c r="M364" i="7"/>
  <c r="J364" i="7"/>
  <c r="O364" i="7" s="1"/>
  <c r="I364" i="7"/>
  <c r="J363" i="7"/>
  <c r="M363" i="7" s="1"/>
  <c r="I363" i="7"/>
  <c r="E369" i="7" s="1"/>
  <c r="C353" i="7"/>
  <c r="C352" i="7"/>
  <c r="E341" i="7"/>
  <c r="J337" i="7"/>
  <c r="I337" i="7"/>
  <c r="M336" i="7"/>
  <c r="J336" i="7"/>
  <c r="I336" i="7"/>
  <c r="N335" i="7"/>
  <c r="M335" i="7"/>
  <c r="J335" i="7"/>
  <c r="E342" i="7" s="1"/>
  <c r="I335" i="7"/>
  <c r="N312" i="7"/>
  <c r="M312" i="7"/>
  <c r="J312" i="7"/>
  <c r="O312" i="7" s="1"/>
  <c r="I312" i="7"/>
  <c r="J311" i="7"/>
  <c r="M311" i="7" s="1"/>
  <c r="I311" i="7"/>
  <c r="J310" i="7"/>
  <c r="I310" i="7"/>
  <c r="M309" i="7"/>
  <c r="J309" i="7"/>
  <c r="E316" i="7" s="1"/>
  <c r="I309" i="7"/>
  <c r="E315" i="7" s="1"/>
  <c r="C294" i="7"/>
  <c r="J283" i="7"/>
  <c r="M283" i="7" s="1"/>
  <c r="I283" i="7"/>
  <c r="J282" i="7"/>
  <c r="I282" i="7"/>
  <c r="M281" i="7"/>
  <c r="J281" i="7"/>
  <c r="I281" i="7"/>
  <c r="N280" i="7"/>
  <c r="M280" i="7"/>
  <c r="J280" i="7"/>
  <c r="E287" i="7" s="1"/>
  <c r="I280" i="7"/>
  <c r="E286" i="7" s="1"/>
  <c r="M260" i="7"/>
  <c r="J260" i="7"/>
  <c r="I260" i="7"/>
  <c r="N259" i="7"/>
  <c r="M259" i="7"/>
  <c r="J259" i="7"/>
  <c r="O259" i="7" s="1"/>
  <c r="I259" i="7"/>
  <c r="J258" i="7"/>
  <c r="M258" i="7" s="1"/>
  <c r="I258" i="7"/>
  <c r="J257" i="7"/>
  <c r="I257" i="7"/>
  <c r="E263" i="7" s="1"/>
  <c r="J237" i="7"/>
  <c r="M237" i="7" s="1"/>
  <c r="I237" i="7"/>
  <c r="J236" i="7"/>
  <c r="I236" i="7"/>
  <c r="M235" i="7"/>
  <c r="J235" i="7"/>
  <c r="I235" i="7"/>
  <c r="N234" i="7"/>
  <c r="M234" i="7"/>
  <c r="J234" i="7"/>
  <c r="E241" i="7" s="1"/>
  <c r="I234" i="7"/>
  <c r="E240" i="7" s="1"/>
  <c r="M214" i="7"/>
  <c r="J214" i="7"/>
  <c r="I214" i="7"/>
  <c r="N213" i="7"/>
  <c r="M213" i="7"/>
  <c r="J213" i="7"/>
  <c r="O213" i="7" s="1"/>
  <c r="I213" i="7"/>
  <c r="J212" i="7"/>
  <c r="M212" i="7" s="1"/>
  <c r="I212" i="7"/>
  <c r="J211" i="7"/>
  <c r="I211" i="7"/>
  <c r="E217" i="7" s="1"/>
  <c r="J191" i="7"/>
  <c r="M191" i="7" s="1"/>
  <c r="I191" i="7"/>
  <c r="J190" i="7"/>
  <c r="I190" i="7"/>
  <c r="M189" i="7"/>
  <c r="J189" i="7"/>
  <c r="I189" i="7"/>
  <c r="N188" i="7"/>
  <c r="M188" i="7"/>
  <c r="J188" i="7"/>
  <c r="E195" i="7" s="1"/>
  <c r="I188" i="7"/>
  <c r="E194" i="7" s="1"/>
  <c r="C175" i="7"/>
  <c r="C174" i="7"/>
  <c r="J160" i="7"/>
  <c r="I160" i="7"/>
  <c r="M159" i="7"/>
  <c r="J159" i="7"/>
  <c r="I159" i="7"/>
  <c r="N158" i="7"/>
  <c r="M158" i="7"/>
  <c r="O158" i="7" s="1"/>
  <c r="J158" i="7"/>
  <c r="I158" i="7"/>
  <c r="J157" i="7"/>
  <c r="M157" i="7" s="1"/>
  <c r="I157" i="7"/>
  <c r="E163" i="7" s="1"/>
  <c r="C142" i="7"/>
  <c r="C141" i="7"/>
  <c r="N127" i="7"/>
  <c r="M127" i="7"/>
  <c r="J127" i="7"/>
  <c r="O127" i="7" s="1"/>
  <c r="I127" i="7"/>
  <c r="J126" i="7"/>
  <c r="M126" i="7" s="1"/>
  <c r="I126" i="7"/>
  <c r="J125" i="7"/>
  <c r="I125" i="7"/>
  <c r="M124" i="7"/>
  <c r="J124" i="7"/>
  <c r="E131" i="7" s="1"/>
  <c r="I124" i="7"/>
  <c r="E130" i="7" s="1"/>
  <c r="C114" i="7"/>
  <c r="C113" i="7"/>
  <c r="N99" i="7"/>
  <c r="M99" i="7"/>
  <c r="J99" i="7"/>
  <c r="O99" i="7" s="1"/>
  <c r="I99" i="7"/>
  <c r="J98" i="7"/>
  <c r="M98" i="7" s="1"/>
  <c r="I98" i="7"/>
  <c r="J97" i="7"/>
  <c r="I97" i="7"/>
  <c r="M96" i="7"/>
  <c r="J96" i="7"/>
  <c r="E103" i="7" s="1"/>
  <c r="I96" i="7"/>
  <c r="E102" i="7" s="1"/>
  <c r="J70" i="7"/>
  <c r="I70" i="7"/>
  <c r="J69" i="7"/>
  <c r="M69" i="7" s="1"/>
  <c r="I69" i="7"/>
  <c r="J68" i="7"/>
  <c r="I68" i="7"/>
  <c r="J67" i="7"/>
  <c r="I67" i="7"/>
  <c r="J41" i="7"/>
  <c r="M41" i="7" s="1"/>
  <c r="I41" i="7"/>
  <c r="J40" i="7"/>
  <c r="M40" i="7" s="1"/>
  <c r="I40" i="7"/>
  <c r="J39" i="7"/>
  <c r="I39" i="7"/>
  <c r="M38" i="7"/>
  <c r="J38" i="7"/>
  <c r="I38" i="7"/>
  <c r="E44" i="7" s="1"/>
  <c r="J12" i="7"/>
  <c r="I12" i="7"/>
  <c r="J11" i="7"/>
  <c r="M11" i="7" s="1"/>
  <c r="I11" i="7"/>
  <c r="J10" i="7"/>
  <c r="I10" i="7"/>
  <c r="J9" i="7"/>
  <c r="I9" i="7"/>
  <c r="C96" i="4"/>
  <c r="D96" i="4"/>
  <c r="F96" i="4" s="1"/>
  <c r="E96" i="4"/>
  <c r="C97" i="4"/>
  <c r="D97" i="4"/>
  <c r="F97" i="4" s="1"/>
  <c r="E97" i="4"/>
  <c r="C98" i="4"/>
  <c r="D98" i="4"/>
  <c r="E98" i="4"/>
  <c r="E95" i="4"/>
  <c r="D95" i="4"/>
  <c r="C95" i="4"/>
  <c r="B95" i="4"/>
  <c r="A95" i="4"/>
  <c r="C92" i="4"/>
  <c r="D92" i="4"/>
  <c r="E92" i="4"/>
  <c r="C93" i="4"/>
  <c r="D93" i="4"/>
  <c r="E93" i="4"/>
  <c r="C94" i="4"/>
  <c r="D94" i="4"/>
  <c r="E94" i="4"/>
  <c r="E91" i="4"/>
  <c r="D91" i="4"/>
  <c r="C91" i="4"/>
  <c r="B91" i="4"/>
  <c r="A91" i="4"/>
  <c r="C88" i="4"/>
  <c r="D88" i="4"/>
  <c r="E88" i="4"/>
  <c r="F88" i="4" s="1"/>
  <c r="C89" i="4"/>
  <c r="D89" i="4"/>
  <c r="E89" i="4"/>
  <c r="C90" i="4"/>
  <c r="D90" i="4"/>
  <c r="E90" i="4"/>
  <c r="E87" i="4"/>
  <c r="D87" i="4"/>
  <c r="C87" i="4"/>
  <c r="B87" i="4"/>
  <c r="A87" i="4"/>
  <c r="C84" i="4"/>
  <c r="D84" i="4"/>
  <c r="E84" i="4"/>
  <c r="F84" i="4" s="1"/>
  <c r="C85" i="4"/>
  <c r="D85" i="4"/>
  <c r="E85" i="4"/>
  <c r="C86" i="4"/>
  <c r="D86" i="4"/>
  <c r="E86" i="4"/>
  <c r="E83" i="4"/>
  <c r="D83" i="4"/>
  <c r="C83" i="4"/>
  <c r="B83" i="4"/>
  <c r="A83" i="4"/>
  <c r="C80" i="4"/>
  <c r="D80" i="4"/>
  <c r="E80" i="4"/>
  <c r="C81" i="4"/>
  <c r="D81" i="4"/>
  <c r="E81" i="4"/>
  <c r="C82" i="4"/>
  <c r="D82" i="4"/>
  <c r="E82" i="4"/>
  <c r="E79" i="4"/>
  <c r="D79" i="4"/>
  <c r="C79" i="4"/>
  <c r="B79" i="4"/>
  <c r="A79" i="4"/>
  <c r="C76" i="4"/>
  <c r="D76" i="4"/>
  <c r="E76" i="4"/>
  <c r="C77" i="4"/>
  <c r="D77" i="4"/>
  <c r="E77" i="4"/>
  <c r="C78" i="4"/>
  <c r="D78" i="4"/>
  <c r="E78" i="4"/>
  <c r="E75" i="4"/>
  <c r="D75" i="4"/>
  <c r="C75" i="4"/>
  <c r="B75" i="4"/>
  <c r="A75" i="4"/>
  <c r="C72" i="4"/>
  <c r="D72" i="4"/>
  <c r="E72" i="4"/>
  <c r="C73" i="4"/>
  <c r="D73" i="4"/>
  <c r="F73" i="4" s="1"/>
  <c r="E73" i="4"/>
  <c r="C74" i="4"/>
  <c r="D74" i="4"/>
  <c r="E74" i="4"/>
  <c r="E71" i="4"/>
  <c r="D71" i="4"/>
  <c r="C71" i="4"/>
  <c r="B71" i="4"/>
  <c r="A71" i="4"/>
  <c r="C68" i="4"/>
  <c r="D68" i="4"/>
  <c r="E68" i="4"/>
  <c r="F68" i="4" s="1"/>
  <c r="C69" i="4"/>
  <c r="D69" i="4"/>
  <c r="E69" i="4"/>
  <c r="C70" i="4"/>
  <c r="D70" i="4"/>
  <c r="E70" i="4"/>
  <c r="E67" i="4"/>
  <c r="D67" i="4"/>
  <c r="C67" i="4"/>
  <c r="B67" i="4"/>
  <c r="A67" i="4"/>
  <c r="C64" i="4"/>
  <c r="D64" i="4"/>
  <c r="E64" i="4"/>
  <c r="C65" i="4"/>
  <c r="D65" i="4"/>
  <c r="F65" i="4" s="1"/>
  <c r="E65" i="4"/>
  <c r="C66" i="4"/>
  <c r="D66" i="4"/>
  <c r="E66" i="4"/>
  <c r="E63" i="4"/>
  <c r="D63" i="4"/>
  <c r="C63" i="4"/>
  <c r="B63" i="4"/>
  <c r="A63" i="4"/>
  <c r="C60" i="4"/>
  <c r="D60" i="4"/>
  <c r="F60" i="4" s="1"/>
  <c r="E60" i="4"/>
  <c r="C61" i="4"/>
  <c r="D61" i="4"/>
  <c r="E61" i="4"/>
  <c r="C62" i="4"/>
  <c r="D62" i="4"/>
  <c r="F62" i="4" s="1"/>
  <c r="E62" i="4"/>
  <c r="E59" i="4"/>
  <c r="D59" i="4"/>
  <c r="C59" i="4"/>
  <c r="B59" i="4"/>
  <c r="A59" i="4"/>
  <c r="C56" i="4"/>
  <c r="D56" i="4"/>
  <c r="F56" i="4" s="1"/>
  <c r="E56" i="4"/>
  <c r="C57" i="4"/>
  <c r="D57" i="4"/>
  <c r="E57" i="4"/>
  <c r="C58" i="4"/>
  <c r="D58" i="4"/>
  <c r="F58" i="4" s="1"/>
  <c r="E58" i="4"/>
  <c r="E55" i="4"/>
  <c r="D55" i="4"/>
  <c r="C55" i="4"/>
  <c r="B55" i="4"/>
  <c r="A55" i="4"/>
  <c r="C52" i="4"/>
  <c r="D52" i="4"/>
  <c r="F52" i="4" s="1"/>
  <c r="E52" i="4"/>
  <c r="C53" i="4"/>
  <c r="D53" i="4"/>
  <c r="F53" i="4" s="1"/>
  <c r="E53" i="4"/>
  <c r="C54" i="4"/>
  <c r="D54" i="4"/>
  <c r="E54" i="4"/>
  <c r="E51" i="4"/>
  <c r="D51" i="4"/>
  <c r="C51" i="4"/>
  <c r="B51" i="4"/>
  <c r="A51" i="4"/>
  <c r="J531" i="1"/>
  <c r="H37" i="5"/>
  <c r="F37" i="5"/>
  <c r="E37" i="5"/>
  <c r="D37" i="5"/>
  <c r="C37" i="5"/>
  <c r="B39" i="5"/>
  <c r="B38" i="5"/>
  <c r="B37" i="5"/>
  <c r="G37" i="5"/>
  <c r="H34" i="5"/>
  <c r="F34" i="5"/>
  <c r="E34" i="5"/>
  <c r="D34" i="5"/>
  <c r="C34" i="5"/>
  <c r="B36" i="5"/>
  <c r="B35" i="5"/>
  <c r="B34" i="5"/>
  <c r="G34" i="5"/>
  <c r="H31" i="5"/>
  <c r="F31" i="5"/>
  <c r="E31" i="5"/>
  <c r="D31" i="5"/>
  <c r="C31" i="5"/>
  <c r="B33" i="5"/>
  <c r="B32" i="5"/>
  <c r="B31" i="5"/>
  <c r="G31" i="5"/>
  <c r="H28" i="5"/>
  <c r="F28" i="5"/>
  <c r="E28" i="5"/>
  <c r="D28" i="5"/>
  <c r="C28" i="5"/>
  <c r="B30" i="5"/>
  <c r="B29" i="5"/>
  <c r="B28" i="5"/>
  <c r="G28" i="5"/>
  <c r="H25" i="5"/>
  <c r="F25" i="5"/>
  <c r="E25" i="5"/>
  <c r="D25" i="5"/>
  <c r="C25" i="5"/>
  <c r="B27" i="5"/>
  <c r="B26" i="5"/>
  <c r="B25" i="5"/>
  <c r="G25" i="5"/>
  <c r="H22" i="5"/>
  <c r="F22" i="5"/>
  <c r="E22" i="5"/>
  <c r="D22" i="5"/>
  <c r="C22" i="5"/>
  <c r="B23" i="5"/>
  <c r="B22" i="5"/>
  <c r="G22" i="5"/>
  <c r="H19" i="5"/>
  <c r="F19" i="5"/>
  <c r="E19" i="5"/>
  <c r="D19" i="5"/>
  <c r="C171" i="1"/>
  <c r="C19" i="5" s="1"/>
  <c r="B21" i="5"/>
  <c r="B20" i="5"/>
  <c r="B19" i="5"/>
  <c r="H16" i="5"/>
  <c r="G16" i="5"/>
  <c r="F16" i="5"/>
  <c r="E16" i="5"/>
  <c r="D16" i="5"/>
  <c r="C16" i="5"/>
  <c r="B18" i="5"/>
  <c r="B17" i="5"/>
  <c r="B16" i="5"/>
  <c r="H13" i="5"/>
  <c r="G13" i="5"/>
  <c r="F13" i="5"/>
  <c r="E13" i="5"/>
  <c r="D13" i="5"/>
  <c r="C13" i="5"/>
  <c r="B15" i="5"/>
  <c r="B14" i="5"/>
  <c r="B13" i="5"/>
  <c r="F77" i="4" l="1"/>
  <c r="E74" i="7"/>
  <c r="E73" i="7"/>
  <c r="M70" i="7"/>
  <c r="N70" i="7" s="1"/>
  <c r="O70" i="7" s="1"/>
  <c r="M67" i="7"/>
  <c r="N41" i="7"/>
  <c r="O41" i="7" s="1"/>
  <c r="E45" i="7"/>
  <c r="H27" i="8"/>
  <c r="I34" i="8"/>
  <c r="H50" i="8"/>
  <c r="H63" i="8"/>
  <c r="H80" i="8"/>
  <c r="I85" i="8"/>
  <c r="H92" i="8"/>
  <c r="H125" i="8"/>
  <c r="H147" i="8"/>
  <c r="I158" i="8"/>
  <c r="I166" i="8"/>
  <c r="H222" i="8"/>
  <c r="I226" i="8"/>
  <c r="H250" i="8"/>
  <c r="F69" i="4"/>
  <c r="F80" i="4"/>
  <c r="F89" i="4"/>
  <c r="F57" i="4"/>
  <c r="F64" i="4"/>
  <c r="F76" i="4"/>
  <c r="F92" i="4"/>
  <c r="F98" i="4"/>
  <c r="F93" i="4"/>
  <c r="F54" i="4"/>
  <c r="F61" i="4"/>
  <c r="F72" i="4"/>
  <c r="F78" i="4"/>
  <c r="F85" i="4"/>
  <c r="F94" i="4"/>
  <c r="G133" i="8"/>
  <c r="H133" i="8" s="1"/>
  <c r="I125" i="8"/>
  <c r="I71" i="8"/>
  <c r="I111" i="8"/>
  <c r="H34" i="8"/>
  <c r="I43" i="8"/>
  <c r="H53" i="8"/>
  <c r="H58" i="8"/>
  <c r="H75" i="8"/>
  <c r="H85" i="8"/>
  <c r="I106" i="8"/>
  <c r="H115" i="8"/>
  <c r="H122" i="8"/>
  <c r="H130" i="8"/>
  <c r="H158" i="8"/>
  <c r="H174" i="8"/>
  <c r="H182" i="8"/>
  <c r="H192" i="8"/>
  <c r="H236" i="8"/>
  <c r="H258" i="8"/>
  <c r="I266" i="8"/>
  <c r="H43" i="8"/>
  <c r="H68" i="8"/>
  <c r="I99" i="8"/>
  <c r="H106" i="8"/>
  <c r="H200" i="8"/>
  <c r="H204" i="8"/>
  <c r="H216" i="8"/>
  <c r="H230" i="8"/>
  <c r="I242" i="8"/>
  <c r="H266" i="8"/>
  <c r="I276" i="8"/>
  <c r="I115" i="8"/>
  <c r="H166" i="8"/>
  <c r="I182" i="8"/>
  <c r="I63" i="8"/>
  <c r="I204" i="8"/>
  <c r="I216" i="8"/>
  <c r="G71" i="8"/>
  <c r="H71" i="8" s="1"/>
  <c r="I92" i="8"/>
  <c r="E16" i="7"/>
  <c r="M12" i="7"/>
  <c r="N12" i="7" s="1"/>
  <c r="E15" i="7"/>
  <c r="M9" i="7"/>
  <c r="H99" i="8"/>
  <c r="I250" i="8"/>
  <c r="I143" i="8"/>
  <c r="I174" i="8"/>
  <c r="I188" i="8"/>
  <c r="I192" i="8"/>
  <c r="H210" i="8"/>
  <c r="I236" i="8"/>
  <c r="I258" i="8"/>
  <c r="I27" i="8"/>
  <c r="I39" i="8"/>
  <c r="I80" i="8"/>
  <c r="H140" i="8"/>
  <c r="H152" i="8"/>
  <c r="H242" i="8"/>
  <c r="I272" i="8"/>
  <c r="H276" i="8"/>
  <c r="I58" i="8"/>
  <c r="I135" i="8"/>
  <c r="I140" i="8"/>
  <c r="I210" i="8"/>
  <c r="I222" i="8"/>
  <c r="N157" i="7"/>
  <c r="O157" i="7"/>
  <c r="N363" i="7"/>
  <c r="E372" i="7" s="1"/>
  <c r="L378" i="7" s="1"/>
  <c r="E371" i="7"/>
  <c r="L379" i="7" s="1"/>
  <c r="N40" i="7"/>
  <c r="O40" i="7" s="1"/>
  <c r="O97" i="7"/>
  <c r="O281" i="7"/>
  <c r="N11" i="7"/>
  <c r="O11" i="7" s="1"/>
  <c r="N126" i="7"/>
  <c r="O126" i="7"/>
  <c r="N258" i="7"/>
  <c r="O258" i="7"/>
  <c r="L407" i="7"/>
  <c r="N69" i="7"/>
  <c r="O69" i="7" s="1"/>
  <c r="E196" i="7"/>
  <c r="N191" i="7"/>
  <c r="O191" i="7" s="1"/>
  <c r="N212" i="7"/>
  <c r="O212" i="7"/>
  <c r="N283" i="7"/>
  <c r="O283" i="7" s="1"/>
  <c r="N311" i="7"/>
  <c r="O311" i="7" s="1"/>
  <c r="N237" i="7"/>
  <c r="O237" i="7"/>
  <c r="N98" i="7"/>
  <c r="O98" i="7" s="1"/>
  <c r="O235" i="7"/>
  <c r="E218" i="7"/>
  <c r="M717" i="7"/>
  <c r="N9" i="7"/>
  <c r="M10" i="7"/>
  <c r="N38" i="7"/>
  <c r="M39" i="7"/>
  <c r="E46" i="7" s="1"/>
  <c r="L54" i="7" s="1"/>
  <c r="N67" i="7"/>
  <c r="M68" i="7"/>
  <c r="N96" i="7"/>
  <c r="M97" i="7"/>
  <c r="E104" i="7" s="1"/>
  <c r="L112" i="7" s="1"/>
  <c r="N124" i="7"/>
  <c r="M125" i="7"/>
  <c r="N159" i="7"/>
  <c r="O159" i="7" s="1"/>
  <c r="M160" i="7"/>
  <c r="O160" i="7" s="1"/>
  <c r="E164" i="7"/>
  <c r="O188" i="7"/>
  <c r="N189" i="7"/>
  <c r="O189" i="7" s="1"/>
  <c r="M190" i="7"/>
  <c r="O190" i="7" s="1"/>
  <c r="M211" i="7"/>
  <c r="E219" i="7" s="1"/>
  <c r="N214" i="7"/>
  <c r="O214" i="7" s="1"/>
  <c r="O234" i="7"/>
  <c r="N235" i="7"/>
  <c r="E243" i="7" s="1"/>
  <c r="M236" i="7"/>
  <c r="O236" i="7" s="1"/>
  <c r="M257" i="7"/>
  <c r="E265" i="7" s="1"/>
  <c r="N260" i="7"/>
  <c r="O260" i="7" s="1"/>
  <c r="O280" i="7"/>
  <c r="N281" i="7"/>
  <c r="M282" i="7"/>
  <c r="N309" i="7"/>
  <c r="M310" i="7"/>
  <c r="O310" i="7" s="1"/>
  <c r="O335" i="7"/>
  <c r="N336" i="7"/>
  <c r="E344" i="7" s="1"/>
  <c r="L350" i="7" s="1"/>
  <c r="M350" i="7" s="1"/>
  <c r="M337" i="7"/>
  <c r="E343" i="7" s="1"/>
  <c r="L351" i="7" s="1"/>
  <c r="N365" i="7"/>
  <c r="O365" i="7" s="1"/>
  <c r="M391" i="7"/>
  <c r="E399" i="7" s="1"/>
  <c r="O419" i="7"/>
  <c r="E429" i="7" s="1"/>
  <c r="E426" i="7"/>
  <c r="L435" i="7" s="1"/>
  <c r="M434" i="7" s="1"/>
  <c r="E541" i="7"/>
  <c r="M534" i="7"/>
  <c r="O603" i="7"/>
  <c r="E613" i="7" s="1"/>
  <c r="M659" i="7"/>
  <c r="E693" i="7"/>
  <c r="M686" i="7"/>
  <c r="E694" i="7" s="1"/>
  <c r="M690" i="7"/>
  <c r="N690" i="7" s="1"/>
  <c r="O690" i="7" s="1"/>
  <c r="O715" i="7"/>
  <c r="O742" i="7"/>
  <c r="O746" i="7"/>
  <c r="E778" i="7"/>
  <c r="O773" i="7"/>
  <c r="O803" i="7"/>
  <c r="O807" i="7"/>
  <c r="O954" i="7"/>
  <c r="O1071" i="7"/>
  <c r="K1071" i="7"/>
  <c r="O480" i="7"/>
  <c r="E490" i="7" s="1"/>
  <c r="N480" i="7"/>
  <c r="E489" i="7" s="1"/>
  <c r="L495" i="7" s="1"/>
  <c r="M495" i="7" s="1"/>
  <c r="O770" i="7"/>
  <c r="N834" i="7"/>
  <c r="E843" i="7" s="1"/>
  <c r="M834" i="7"/>
  <c r="O834" i="7" s="1"/>
  <c r="O38" i="7"/>
  <c r="O96" i="7"/>
  <c r="N97" i="7"/>
  <c r="O124" i="7"/>
  <c r="N160" i="7"/>
  <c r="N190" i="7"/>
  <c r="N211" i="7"/>
  <c r="N236" i="7"/>
  <c r="N257" i="7"/>
  <c r="E266" i="7" s="1"/>
  <c r="O309" i="7"/>
  <c r="N310" i="7"/>
  <c r="N337" i="7"/>
  <c r="N391" i="7"/>
  <c r="E400" i="7" s="1"/>
  <c r="L406" i="7" s="1"/>
  <c r="N447" i="7"/>
  <c r="E454" i="7"/>
  <c r="L463" i="7" s="1"/>
  <c r="O580" i="7"/>
  <c r="E590" i="7" s="1"/>
  <c r="C597" i="7" s="1"/>
  <c r="O661" i="7"/>
  <c r="O688" i="7"/>
  <c r="O689" i="7"/>
  <c r="E776" i="7"/>
  <c r="L786" i="7" s="1"/>
  <c r="E864" i="7"/>
  <c r="O981" i="7"/>
  <c r="N981" i="7"/>
  <c r="M981" i="7"/>
  <c r="O1043" i="7"/>
  <c r="E264" i="7"/>
  <c r="E487" i="7"/>
  <c r="L496" i="7" s="1"/>
  <c r="O557" i="7"/>
  <c r="E567" i="7" s="1"/>
  <c r="C574" i="7" s="1"/>
  <c r="N557" i="7"/>
  <c r="E566" i="7" s="1"/>
  <c r="E748" i="7"/>
  <c r="L758" i="7" s="1"/>
  <c r="M744" i="7"/>
  <c r="E750" i="7" s="1"/>
  <c r="O771" i="7"/>
  <c r="N771" i="7"/>
  <c r="M771" i="7"/>
  <c r="E809" i="7"/>
  <c r="L819" i="7" s="1"/>
  <c r="O805" i="7"/>
  <c r="N805" i="7"/>
  <c r="M805" i="7"/>
  <c r="E811" i="7" s="1"/>
  <c r="N859" i="7"/>
  <c r="M859" i="7"/>
  <c r="O859" i="7" s="1"/>
  <c r="E1294" i="7"/>
  <c r="N632" i="7"/>
  <c r="E641" i="7" s="1"/>
  <c r="N658" i="7"/>
  <c r="N662" i="7"/>
  <c r="O662" i="7" s="1"/>
  <c r="N689" i="7"/>
  <c r="N716" i="7"/>
  <c r="O716" i="7" s="1"/>
  <c r="N743" i="7"/>
  <c r="N770" i="7"/>
  <c r="N774" i="7"/>
  <c r="O774" i="7" s="1"/>
  <c r="N804" i="7"/>
  <c r="E812" i="7" s="1"/>
  <c r="L818" i="7" s="1"/>
  <c r="M818" i="7" s="1"/>
  <c r="O838" i="7"/>
  <c r="E909" i="7"/>
  <c r="O906" i="7"/>
  <c r="M928" i="7"/>
  <c r="N928" i="7" s="1"/>
  <c r="O928" i="7" s="1"/>
  <c r="E962" i="7"/>
  <c r="E988" i="7"/>
  <c r="M1011" i="7"/>
  <c r="O1014" i="7"/>
  <c r="M1015" i="7"/>
  <c r="O1039" i="7"/>
  <c r="M1042" i="7"/>
  <c r="E1047" i="7" s="1"/>
  <c r="L1054" i="7" s="1"/>
  <c r="E1073" i="7"/>
  <c r="M1165" i="7"/>
  <c r="O1165" i="7" s="1"/>
  <c r="E1169" i="7"/>
  <c r="M511" i="7"/>
  <c r="O804" i="7"/>
  <c r="N836" i="7"/>
  <c r="M836" i="7"/>
  <c r="O881" i="7"/>
  <c r="O904" i="7"/>
  <c r="N904" i="7"/>
  <c r="M904" i="7"/>
  <c r="E911" i="7" s="1"/>
  <c r="O926" i="7"/>
  <c r="E933" i="7"/>
  <c r="O930" i="7"/>
  <c r="E960" i="7"/>
  <c r="O956" i="7"/>
  <c r="E989" i="7"/>
  <c r="E1017" i="7"/>
  <c r="M1012" i="7"/>
  <c r="O1012" i="7" s="1"/>
  <c r="E1016" i="7"/>
  <c r="L1083" i="7"/>
  <c r="N1131" i="7"/>
  <c r="K1131" i="7"/>
  <c r="O1131" i="7"/>
  <c r="N1210" i="7"/>
  <c r="O1210" i="7" s="1"/>
  <c r="M1213" i="7"/>
  <c r="O1213" i="7" s="1"/>
  <c r="E1240" i="7"/>
  <c r="E840" i="7"/>
  <c r="M860" i="7"/>
  <c r="O880" i="7"/>
  <c r="N880" i="7"/>
  <c r="E887" i="7"/>
  <c r="M880" i="7"/>
  <c r="E888" i="7" s="1"/>
  <c r="O884" i="7"/>
  <c r="N884" i="7"/>
  <c r="M884" i="7"/>
  <c r="O955" i="7"/>
  <c r="N955" i="7"/>
  <c r="M955" i="7"/>
  <c r="E1018" i="7"/>
  <c r="O1041" i="7"/>
  <c r="M1043" i="7"/>
  <c r="N1043" i="7" s="1"/>
  <c r="O1098" i="7"/>
  <c r="E1106" i="7" s="1"/>
  <c r="K1098" i="7"/>
  <c r="E1217" i="7"/>
  <c r="N883" i="7"/>
  <c r="O883" i="7" s="1"/>
  <c r="N903" i="7"/>
  <c r="N907" i="7"/>
  <c r="O907" i="7" s="1"/>
  <c r="N927" i="7"/>
  <c r="E935" i="7" s="1"/>
  <c r="N954" i="7"/>
  <c r="N958" i="7"/>
  <c r="O958" i="7" s="1"/>
  <c r="N980" i="7"/>
  <c r="E990" i="7" s="1"/>
  <c r="L996" i="7" s="1"/>
  <c r="N984" i="7"/>
  <c r="M985" i="7"/>
  <c r="O985" i="7" s="1"/>
  <c r="O1009" i="7"/>
  <c r="N1010" i="7"/>
  <c r="N1040" i="7"/>
  <c r="O1040" i="7" s="1"/>
  <c r="M1041" i="7"/>
  <c r="O1067" i="7"/>
  <c r="K1070" i="7"/>
  <c r="E1105" i="7"/>
  <c r="L1111" i="7" s="1"/>
  <c r="M1111" i="7" s="1"/>
  <c r="N1129" i="7"/>
  <c r="E1137" i="7"/>
  <c r="M1126" i="7"/>
  <c r="K1129" i="7"/>
  <c r="O1132" i="7"/>
  <c r="M1191" i="7"/>
  <c r="N1191" i="7" s="1"/>
  <c r="E1264" i="7"/>
  <c r="E1293" i="7"/>
  <c r="M857" i="7"/>
  <c r="O927" i="7"/>
  <c r="N985" i="7"/>
  <c r="N1041" i="7"/>
  <c r="O1044" i="7"/>
  <c r="N1066" i="7"/>
  <c r="E1076" i="7" s="1"/>
  <c r="L1082" i="7" s="1"/>
  <c r="M1082" i="7" s="1"/>
  <c r="E1138" i="7"/>
  <c r="N1135" i="7"/>
  <c r="O1135" i="7" s="1"/>
  <c r="K1135" i="7"/>
  <c r="M1189" i="7"/>
  <c r="N1189" i="7" s="1"/>
  <c r="O1189" i="7"/>
  <c r="O1212" i="7"/>
  <c r="E1265" i="7"/>
  <c r="O1066" i="7"/>
  <c r="E1077" i="7" s="1"/>
  <c r="N1134" i="7"/>
  <c r="O1134" i="7" s="1"/>
  <c r="M1167" i="7"/>
  <c r="N1167" i="7" s="1"/>
  <c r="M1215" i="7"/>
  <c r="N1215" i="7" s="1"/>
  <c r="O1096" i="7"/>
  <c r="N1130" i="7"/>
  <c r="M1162" i="7"/>
  <c r="O1163" i="7"/>
  <c r="M1164" i="7"/>
  <c r="N1164" i="7" s="1"/>
  <c r="M1166" i="7"/>
  <c r="O1166" i="7" s="1"/>
  <c r="M1168" i="7"/>
  <c r="N1168" i="7" s="1"/>
  <c r="E1170" i="7"/>
  <c r="M1186" i="7"/>
  <c r="O1187" i="7"/>
  <c r="M1188" i="7"/>
  <c r="N1188" i="7" s="1"/>
  <c r="M1190" i="7"/>
  <c r="O1190" i="7" s="1"/>
  <c r="M1192" i="7"/>
  <c r="N1192" i="7" s="1"/>
  <c r="E1194" i="7"/>
  <c r="O1211" i="7"/>
  <c r="M1214" i="7"/>
  <c r="O1214" i="7" s="1"/>
  <c r="E1218" i="7"/>
  <c r="O1130" i="7"/>
  <c r="N1166" i="7"/>
  <c r="F90" i="4"/>
  <c r="F63" i="4"/>
  <c r="F82" i="4"/>
  <c r="F81" i="4"/>
  <c r="F71" i="4"/>
  <c r="F95" i="4"/>
  <c r="F91" i="4"/>
  <c r="F87" i="4"/>
  <c r="F86" i="4"/>
  <c r="F83" i="4"/>
  <c r="F79" i="4"/>
  <c r="F75" i="4"/>
  <c r="F74" i="4"/>
  <c r="F70" i="4"/>
  <c r="F67" i="4"/>
  <c r="F66" i="4"/>
  <c r="F59" i="4"/>
  <c r="F55" i="4"/>
  <c r="F51" i="4"/>
  <c r="H10" i="5"/>
  <c r="G10" i="5"/>
  <c r="F10" i="5"/>
  <c r="E10" i="5"/>
  <c r="D10" i="5"/>
  <c r="C10" i="5"/>
  <c r="B12" i="5"/>
  <c r="B9" i="5"/>
  <c r="B11" i="5"/>
  <c r="B10" i="5"/>
  <c r="H7" i="5"/>
  <c r="G7" i="5"/>
  <c r="F7" i="5"/>
  <c r="E7" i="5"/>
  <c r="D7" i="5"/>
  <c r="C7" i="5"/>
  <c r="B8" i="5"/>
  <c r="B7" i="5"/>
  <c r="B4" i="5"/>
  <c r="G4" i="5"/>
  <c r="H4" i="5"/>
  <c r="F4" i="5"/>
  <c r="E4" i="5"/>
  <c r="D4" i="5"/>
  <c r="C4" i="5"/>
  <c r="B6" i="5"/>
  <c r="B5" i="5"/>
  <c r="C48" i="4"/>
  <c r="D48" i="4"/>
  <c r="F48" i="4" s="1"/>
  <c r="E48" i="4"/>
  <c r="C49" i="4"/>
  <c r="D49" i="4"/>
  <c r="E49" i="4"/>
  <c r="C50" i="4"/>
  <c r="D50" i="4"/>
  <c r="E50" i="4"/>
  <c r="E47" i="4"/>
  <c r="D47" i="4"/>
  <c r="C47" i="4"/>
  <c r="B47" i="4"/>
  <c r="A47" i="4"/>
  <c r="C44" i="4"/>
  <c r="D44" i="4"/>
  <c r="E44" i="4"/>
  <c r="C45" i="4"/>
  <c r="D45" i="4"/>
  <c r="E45" i="4"/>
  <c r="C46" i="4"/>
  <c r="D46" i="4"/>
  <c r="E46" i="4"/>
  <c r="E43" i="4"/>
  <c r="D43" i="4"/>
  <c r="C43" i="4"/>
  <c r="B43" i="4"/>
  <c r="A43" i="4"/>
  <c r="C40" i="4"/>
  <c r="D40" i="4"/>
  <c r="E40" i="4"/>
  <c r="C41" i="4"/>
  <c r="D41" i="4"/>
  <c r="E41" i="4"/>
  <c r="C42" i="4"/>
  <c r="D42" i="4"/>
  <c r="E42" i="4"/>
  <c r="E39" i="4"/>
  <c r="D39" i="4"/>
  <c r="C39" i="4"/>
  <c r="B39" i="4"/>
  <c r="A39" i="4"/>
  <c r="O67" i="7" l="1"/>
  <c r="N39" i="7"/>
  <c r="O39" i="7"/>
  <c r="E48" i="7" s="1"/>
  <c r="O9" i="7"/>
  <c r="F40" i="4"/>
  <c r="F44" i="4"/>
  <c r="O12" i="7"/>
  <c r="C1118" i="7"/>
  <c r="N1111" i="7"/>
  <c r="C1123" i="7"/>
  <c r="C1120" i="7"/>
  <c r="E751" i="7"/>
  <c r="L757" i="7" s="1"/>
  <c r="M757" i="7" s="1"/>
  <c r="E1049" i="7"/>
  <c r="O1162" i="7"/>
  <c r="O125" i="7"/>
  <c r="E134" i="7" s="1"/>
  <c r="O1186" i="7"/>
  <c r="O1011" i="7"/>
  <c r="E865" i="7"/>
  <c r="O857" i="7"/>
  <c r="N857" i="7"/>
  <c r="E890" i="7"/>
  <c r="C897" i="7" s="1"/>
  <c r="E106" i="7"/>
  <c r="C502" i="7"/>
  <c r="N495" i="7"/>
  <c r="C505" i="7"/>
  <c r="E542" i="7"/>
  <c r="E198" i="7"/>
  <c r="C205" i="7" s="1"/>
  <c r="E167" i="7"/>
  <c r="N1214" i="7"/>
  <c r="L1146" i="7"/>
  <c r="E912" i="7"/>
  <c r="O1168" i="7"/>
  <c r="O903" i="7"/>
  <c r="E913" i="7" s="1"/>
  <c r="C920" i="7" s="1"/>
  <c r="N1213" i="7"/>
  <c r="E1220" i="7" s="1"/>
  <c r="E1219" i="7"/>
  <c r="N1012" i="7"/>
  <c r="E1019" i="7" s="1"/>
  <c r="L1025" i="7" s="1"/>
  <c r="M1025" i="7" s="1"/>
  <c r="E936" i="7"/>
  <c r="O743" i="7"/>
  <c r="E752" i="7" s="1"/>
  <c r="N1165" i="7"/>
  <c r="N1015" i="7"/>
  <c r="O1015" i="7" s="1"/>
  <c r="N1011" i="7"/>
  <c r="O1188" i="7"/>
  <c r="E934" i="7"/>
  <c r="N125" i="7"/>
  <c r="N68" i="7"/>
  <c r="E76" i="7" s="1"/>
  <c r="G21" i="8" s="1"/>
  <c r="N10" i="7"/>
  <c r="O10" i="7" s="1"/>
  <c r="L702" i="7"/>
  <c r="N659" i="7"/>
  <c r="O659" i="7" s="1"/>
  <c r="E133" i="7"/>
  <c r="L139" i="7" s="1"/>
  <c r="M139" i="7" s="1"/>
  <c r="N717" i="7"/>
  <c r="O717" i="7" s="1"/>
  <c r="E724" i="7" s="1"/>
  <c r="E197" i="7"/>
  <c r="E317" i="7"/>
  <c r="O336" i="7"/>
  <c r="E345" i="7" s="1"/>
  <c r="E165" i="7"/>
  <c r="L173" i="7" s="1"/>
  <c r="M996" i="7"/>
  <c r="E780" i="7"/>
  <c r="E964" i="7"/>
  <c r="C441" i="7"/>
  <c r="N434" i="7"/>
  <c r="O632" i="7"/>
  <c r="E642" i="7" s="1"/>
  <c r="E723" i="7"/>
  <c r="L729" i="7" s="1"/>
  <c r="E288" i="7"/>
  <c r="M378" i="7"/>
  <c r="N1190" i="7"/>
  <c r="E1195" i="7"/>
  <c r="N1186" i="7"/>
  <c r="O1167" i="7"/>
  <c r="C1089" i="7"/>
  <c r="N1082" i="7"/>
  <c r="O1192" i="7"/>
  <c r="O1164" i="7"/>
  <c r="O980" i="7"/>
  <c r="E991" i="7" s="1"/>
  <c r="L1292" i="7"/>
  <c r="L1288" i="7"/>
  <c r="L1289" i="7"/>
  <c r="L1290" i="7"/>
  <c r="L1286" i="7"/>
  <c r="L1287" i="7"/>
  <c r="L1291" i="7"/>
  <c r="L1262" i="7"/>
  <c r="L1258" i="7"/>
  <c r="L1263" i="7"/>
  <c r="L1259" i="7"/>
  <c r="L1260" i="7"/>
  <c r="L1257" i="7"/>
  <c r="L1261" i="7"/>
  <c r="O1129" i="7"/>
  <c r="E1140" i="7" s="1"/>
  <c r="E1139" i="7"/>
  <c r="L1145" i="7" s="1"/>
  <c r="E963" i="7"/>
  <c r="N860" i="7"/>
  <c r="O860" i="7" s="1"/>
  <c r="O1010" i="7"/>
  <c r="E1020" i="7" s="1"/>
  <c r="O836" i="7"/>
  <c r="E844" i="7" s="1"/>
  <c r="C851" i="7" s="1"/>
  <c r="E519" i="7"/>
  <c r="N511" i="7"/>
  <c r="E520" i="7" s="1"/>
  <c r="O511" i="7"/>
  <c r="E521" i="7" s="1"/>
  <c r="C528" i="7" s="1"/>
  <c r="N1042" i="7"/>
  <c r="E1048" i="7" s="1"/>
  <c r="L1053" i="7" s="1"/>
  <c r="M1053" i="7" s="1"/>
  <c r="E779" i="7"/>
  <c r="L785" i="7" s="1"/>
  <c r="M785" i="7" s="1"/>
  <c r="N744" i="7"/>
  <c r="O744" i="7" s="1"/>
  <c r="E666" i="7"/>
  <c r="L674" i="7" s="1"/>
  <c r="O391" i="7"/>
  <c r="E401" i="7" s="1"/>
  <c r="E722" i="7"/>
  <c r="L730" i="7" s="1"/>
  <c r="E456" i="7"/>
  <c r="L462" i="7" s="1"/>
  <c r="M462" i="7" s="1"/>
  <c r="O447" i="7"/>
  <c r="E457" i="7" s="1"/>
  <c r="E319" i="7"/>
  <c r="E220" i="7"/>
  <c r="E813" i="7"/>
  <c r="N686" i="7"/>
  <c r="E695" i="7" s="1"/>
  <c r="L701" i="7" s="1"/>
  <c r="N534" i="7"/>
  <c r="E543" i="7" s="1"/>
  <c r="O337" i="7"/>
  <c r="E132" i="7"/>
  <c r="L140" i="7" s="1"/>
  <c r="O257" i="7"/>
  <c r="E267" i="7" s="1"/>
  <c r="C274" i="7" s="1"/>
  <c r="E75" i="7"/>
  <c r="L83" i="7" s="1"/>
  <c r="F20" i="8" s="1"/>
  <c r="E242" i="7"/>
  <c r="O363" i="7"/>
  <c r="E373" i="7" s="1"/>
  <c r="E166" i="7"/>
  <c r="L172" i="7" s="1"/>
  <c r="E1171" i="7"/>
  <c r="N1162" i="7"/>
  <c r="L1239" i="7"/>
  <c r="L1235" i="7"/>
  <c r="L1236" i="7"/>
  <c r="L1237" i="7"/>
  <c r="L1233" i="7"/>
  <c r="L1238" i="7"/>
  <c r="L1234" i="7"/>
  <c r="O1215" i="7"/>
  <c r="E1221" i="7" s="1"/>
  <c r="C1227" i="7" s="1"/>
  <c r="O1191" i="7"/>
  <c r="E889" i="7"/>
  <c r="L1026" i="7"/>
  <c r="O1042" i="7"/>
  <c r="L997" i="7"/>
  <c r="E667" i="7"/>
  <c r="L673" i="7" s="1"/>
  <c r="M673" i="7" s="1"/>
  <c r="O658" i="7"/>
  <c r="M406" i="7"/>
  <c r="N282" i="7"/>
  <c r="O282" i="7" s="1"/>
  <c r="E290" i="7" s="1"/>
  <c r="E842" i="7"/>
  <c r="O686" i="7"/>
  <c r="E696" i="7" s="1"/>
  <c r="C621" i="7"/>
  <c r="C626" i="7"/>
  <c r="C623" i="7"/>
  <c r="E318" i="7"/>
  <c r="E244" i="7"/>
  <c r="C251" i="7" s="1"/>
  <c r="E105" i="7"/>
  <c r="L111" i="7" s="1"/>
  <c r="M111" i="7" s="1"/>
  <c r="E47" i="7"/>
  <c r="E17" i="7"/>
  <c r="O211" i="7"/>
  <c r="E221" i="7" s="1"/>
  <c r="C228" i="7" s="1"/>
  <c r="F50" i="4"/>
  <c r="F49" i="4"/>
  <c r="F42" i="4"/>
  <c r="F41" i="4"/>
  <c r="F46" i="4"/>
  <c r="F45" i="4"/>
  <c r="F47" i="4"/>
  <c r="F43" i="4"/>
  <c r="F39" i="4"/>
  <c r="C36" i="4"/>
  <c r="D36" i="4"/>
  <c r="E36" i="4"/>
  <c r="C37" i="4"/>
  <c r="D37" i="4"/>
  <c r="E37" i="4"/>
  <c r="C38" i="4"/>
  <c r="D38" i="4"/>
  <c r="E38" i="4"/>
  <c r="E35" i="4"/>
  <c r="D35" i="4"/>
  <c r="C35" i="4"/>
  <c r="B35" i="4"/>
  <c r="A35" i="4"/>
  <c r="C32" i="4"/>
  <c r="D32" i="4"/>
  <c r="F32" i="4" s="1"/>
  <c r="E32" i="4"/>
  <c r="C33" i="4"/>
  <c r="D33" i="4"/>
  <c r="E33" i="4"/>
  <c r="C34" i="4"/>
  <c r="D34" i="4"/>
  <c r="E34" i="4"/>
  <c r="E31" i="4"/>
  <c r="D31" i="4"/>
  <c r="C31" i="4"/>
  <c r="B31" i="4"/>
  <c r="A31" i="4"/>
  <c r="C28" i="4"/>
  <c r="D28" i="4"/>
  <c r="E28" i="4"/>
  <c r="C29" i="4"/>
  <c r="D29" i="4"/>
  <c r="E29" i="4"/>
  <c r="C30" i="4"/>
  <c r="D30" i="4"/>
  <c r="E30" i="4"/>
  <c r="E27" i="4"/>
  <c r="D27" i="4"/>
  <c r="C27" i="4"/>
  <c r="B27" i="4"/>
  <c r="A27" i="4"/>
  <c r="C24" i="4"/>
  <c r="D24" i="4"/>
  <c r="E24" i="4"/>
  <c r="C25" i="4"/>
  <c r="D25" i="4"/>
  <c r="E25" i="4"/>
  <c r="C26" i="4"/>
  <c r="D26" i="4"/>
  <c r="E26" i="4"/>
  <c r="E23" i="4"/>
  <c r="D23" i="4"/>
  <c r="C23" i="4"/>
  <c r="B23" i="4"/>
  <c r="A23" i="4"/>
  <c r="C20" i="4"/>
  <c r="D20" i="4"/>
  <c r="F20" i="4" s="1"/>
  <c r="E20" i="4"/>
  <c r="C21" i="4"/>
  <c r="D21" i="4"/>
  <c r="E21" i="4"/>
  <c r="C22" i="4"/>
  <c r="D22" i="4"/>
  <c r="E22" i="4"/>
  <c r="E19" i="4"/>
  <c r="D19" i="4"/>
  <c r="C19" i="4"/>
  <c r="C138" i="1"/>
  <c r="B19" i="4" s="1"/>
  <c r="A19" i="4"/>
  <c r="C16" i="4"/>
  <c r="D16" i="4"/>
  <c r="J16" i="4" s="1"/>
  <c r="E16" i="4"/>
  <c r="K16" i="4" s="1"/>
  <c r="C17" i="4"/>
  <c r="D17" i="4"/>
  <c r="F17" i="4" s="1"/>
  <c r="L17" i="4" s="1"/>
  <c r="E17" i="4"/>
  <c r="K17" i="4" s="1"/>
  <c r="C18" i="4"/>
  <c r="D18" i="4"/>
  <c r="J18" i="4" s="1"/>
  <c r="E18" i="4"/>
  <c r="K18" i="4" s="1"/>
  <c r="E15" i="4"/>
  <c r="K15" i="4" s="1"/>
  <c r="D15" i="4"/>
  <c r="J15" i="4" s="1"/>
  <c r="C15" i="4"/>
  <c r="B15" i="4"/>
  <c r="A15" i="4"/>
  <c r="C82" i="1"/>
  <c r="B11" i="4" s="1"/>
  <c r="C12" i="4"/>
  <c r="D12" i="4"/>
  <c r="F12" i="4" s="1"/>
  <c r="E12" i="4"/>
  <c r="C13" i="4"/>
  <c r="D13" i="4"/>
  <c r="E13" i="4"/>
  <c r="C14" i="4"/>
  <c r="D14" i="4"/>
  <c r="F14" i="4" s="1"/>
  <c r="E14" i="4"/>
  <c r="E11" i="4"/>
  <c r="D11" i="4"/>
  <c r="C11" i="4"/>
  <c r="A11" i="4"/>
  <c r="B7" i="4"/>
  <c r="C54" i="1"/>
  <c r="A7" i="4"/>
  <c r="C8" i="4"/>
  <c r="D8" i="4"/>
  <c r="F8" i="4" s="1"/>
  <c r="E8" i="4"/>
  <c r="C9" i="4"/>
  <c r="D9" i="4"/>
  <c r="E9" i="4"/>
  <c r="C10" i="4"/>
  <c r="D10" i="4"/>
  <c r="F10" i="4" s="1"/>
  <c r="E10" i="4"/>
  <c r="E7" i="4"/>
  <c r="D7" i="4"/>
  <c r="C7" i="4"/>
  <c r="E4" i="4"/>
  <c r="E5" i="4"/>
  <c r="K5" i="4" s="1"/>
  <c r="E6" i="4"/>
  <c r="K6" i="4" s="1"/>
  <c r="E3" i="4"/>
  <c r="K3" i="4" s="1"/>
  <c r="D4" i="4"/>
  <c r="D5" i="4"/>
  <c r="J5" i="4" s="1"/>
  <c r="J9" i="4" s="1"/>
  <c r="D6" i="4"/>
  <c r="D3" i="4"/>
  <c r="J3" i="4" s="1"/>
  <c r="C4" i="4"/>
  <c r="C5" i="4"/>
  <c r="C6" i="4"/>
  <c r="C3" i="4"/>
  <c r="C26" i="1"/>
  <c r="B3" i="4" s="1"/>
  <c r="J6" i="4"/>
  <c r="J10" i="4" s="1"/>
  <c r="J14" i="4" s="1"/>
  <c r="J4" i="4"/>
  <c r="K4" i="4"/>
  <c r="A3" i="4"/>
  <c r="G22" i="8" l="1"/>
  <c r="I18" i="8" s="1"/>
  <c r="L82" i="7"/>
  <c r="F19" i="8" s="1"/>
  <c r="O68" i="7"/>
  <c r="E77" i="7" s="1"/>
  <c r="L53" i="7"/>
  <c r="E19" i="7"/>
  <c r="F29" i="4"/>
  <c r="F36" i="4"/>
  <c r="J20" i="4"/>
  <c r="J24" i="4" s="1"/>
  <c r="J40" i="4" s="1"/>
  <c r="J44" i="4" s="1"/>
  <c r="J48" i="4" s="1"/>
  <c r="J64" i="4" s="1"/>
  <c r="F9" i="4"/>
  <c r="F13" i="4"/>
  <c r="F24" i="4"/>
  <c r="J8" i="4"/>
  <c r="J12" i="4" s="1"/>
  <c r="J28" i="4" s="1"/>
  <c r="J32" i="4" s="1"/>
  <c r="J36" i="4" s="1"/>
  <c r="J52" i="4" s="1"/>
  <c r="J56" i="4" s="1"/>
  <c r="J60" i="4" s="1"/>
  <c r="F7" i="4"/>
  <c r="F28" i="4"/>
  <c r="F34" i="4"/>
  <c r="L25" i="7"/>
  <c r="N729" i="7"/>
  <c r="C764" i="7"/>
  <c r="N757" i="7"/>
  <c r="C151" i="7"/>
  <c r="C148" i="7"/>
  <c r="C146" i="7"/>
  <c r="N139" i="7"/>
  <c r="C357" i="7"/>
  <c r="N350" i="7"/>
  <c r="C298" i="7"/>
  <c r="C303" i="7"/>
  <c r="C300" i="7"/>
  <c r="C1032" i="7"/>
  <c r="N1025" i="7"/>
  <c r="K1258" i="7"/>
  <c r="M1258" i="7"/>
  <c r="M1286" i="7"/>
  <c r="K1286" i="7"/>
  <c r="K1292" i="7"/>
  <c r="M1292" i="7"/>
  <c r="M729" i="7"/>
  <c r="C736" i="7" s="1"/>
  <c r="C974" i="7"/>
  <c r="C971" i="7"/>
  <c r="O534" i="7"/>
  <c r="E544" i="7" s="1"/>
  <c r="C551" i="7" s="1"/>
  <c r="E867" i="7"/>
  <c r="C874" i="7" s="1"/>
  <c r="K1235" i="7"/>
  <c r="M1235" i="7"/>
  <c r="M172" i="7"/>
  <c r="C179" i="7" s="1"/>
  <c r="C326" i="7"/>
  <c r="C329" i="7"/>
  <c r="C413" i="7"/>
  <c r="N406" i="7"/>
  <c r="M1145" i="7"/>
  <c r="M1260" i="7"/>
  <c r="K1260" i="7"/>
  <c r="K1262" i="7"/>
  <c r="M1262" i="7"/>
  <c r="M1290" i="7"/>
  <c r="K1290" i="7"/>
  <c r="N996" i="7"/>
  <c r="C1003" i="7"/>
  <c r="C652" i="7"/>
  <c r="C649" i="7"/>
  <c r="C794" i="7"/>
  <c r="C792" i="7"/>
  <c r="N785" i="7"/>
  <c r="C797" i="7"/>
  <c r="C118" i="7"/>
  <c r="N111" i="7"/>
  <c r="E1173" i="7"/>
  <c r="C1180" i="7" s="1"/>
  <c r="K1234" i="7"/>
  <c r="M1234" i="7"/>
  <c r="K1238" i="7"/>
  <c r="M1238" i="7"/>
  <c r="M1233" i="7"/>
  <c r="K1233" i="7"/>
  <c r="C385" i="7"/>
  <c r="N378" i="7"/>
  <c r="C474" i="7"/>
  <c r="C471" i="7"/>
  <c r="C469" i="7"/>
  <c r="N462" i="7"/>
  <c r="C1155" i="7"/>
  <c r="N1145" i="7"/>
  <c r="C1152" i="7"/>
  <c r="M1259" i="7"/>
  <c r="K1259" i="7"/>
  <c r="K1291" i="7"/>
  <c r="M1291" i="7"/>
  <c r="E18" i="7"/>
  <c r="N172" i="7"/>
  <c r="C1060" i="7"/>
  <c r="N1053" i="7"/>
  <c r="E668" i="7"/>
  <c r="M1236" i="7"/>
  <c r="K1236" i="7"/>
  <c r="C828" i="7"/>
  <c r="C825" i="7"/>
  <c r="N818" i="7"/>
  <c r="K1257" i="7"/>
  <c r="M1257" i="7"/>
  <c r="K1239" i="7"/>
  <c r="M1239" i="7"/>
  <c r="M701" i="7"/>
  <c r="C708" i="7" s="1"/>
  <c r="M1289" i="7"/>
  <c r="K1289" i="7"/>
  <c r="E289" i="7"/>
  <c r="E1197" i="7"/>
  <c r="C1204" i="7" s="1"/>
  <c r="M1237" i="7"/>
  <c r="K1237" i="7"/>
  <c r="E1172" i="7"/>
  <c r="K1261" i="7"/>
  <c r="M1261" i="7"/>
  <c r="M1263" i="7"/>
  <c r="K1263" i="7"/>
  <c r="K1287" i="7"/>
  <c r="M1287" i="7"/>
  <c r="K1288" i="7"/>
  <c r="M1288" i="7"/>
  <c r="E1196" i="7"/>
  <c r="C943" i="7"/>
  <c r="C948" i="7"/>
  <c r="C945" i="7"/>
  <c r="E866" i="7"/>
  <c r="F18" i="4"/>
  <c r="L18" i="4" s="1"/>
  <c r="J19" i="4"/>
  <c r="J23" i="4" s="1"/>
  <c r="J39" i="4" s="1"/>
  <c r="J43" i="4" s="1"/>
  <c r="J47" i="4" s="1"/>
  <c r="J63" i="4" s="1"/>
  <c r="F25" i="4"/>
  <c r="F26" i="4"/>
  <c r="F37" i="4"/>
  <c r="F30" i="4"/>
  <c r="F35" i="4"/>
  <c r="J17" i="4"/>
  <c r="J21" i="4" s="1"/>
  <c r="J25" i="4" s="1"/>
  <c r="J41" i="4" s="1"/>
  <c r="J45" i="4" s="1"/>
  <c r="J49" i="4" s="1"/>
  <c r="J65" i="4" s="1"/>
  <c r="F21" i="4"/>
  <c r="L21" i="4" s="1"/>
  <c r="J7" i="4"/>
  <c r="J11" i="4" s="1"/>
  <c r="J27" i="4" s="1"/>
  <c r="J31" i="4" s="1"/>
  <c r="J35" i="4" s="1"/>
  <c r="J51" i="4" s="1"/>
  <c r="J55" i="4" s="1"/>
  <c r="J59" i="4" s="1"/>
  <c r="J75" i="4" s="1"/>
  <c r="F16" i="4"/>
  <c r="L16" i="4" s="1"/>
  <c r="L20" i="4" s="1"/>
  <c r="F22" i="4"/>
  <c r="F38" i="4"/>
  <c r="J13" i="4"/>
  <c r="J29" i="4" s="1"/>
  <c r="J33" i="4" s="1"/>
  <c r="J37" i="4" s="1"/>
  <c r="J53" i="4" s="1"/>
  <c r="J57" i="4" s="1"/>
  <c r="J61" i="4" s="1"/>
  <c r="F33" i="4"/>
  <c r="F31" i="4"/>
  <c r="J30" i="4"/>
  <c r="J34" i="4" s="1"/>
  <c r="F27" i="4"/>
  <c r="F23" i="4"/>
  <c r="J22" i="4"/>
  <c r="J26" i="4" s="1"/>
  <c r="J42" i="4" s="1"/>
  <c r="F19" i="4"/>
  <c r="F15" i="4"/>
  <c r="L15" i="4" s="1"/>
  <c r="F11" i="4"/>
  <c r="F3" i="4"/>
  <c r="L3" i="4" s="1"/>
  <c r="L7" i="4" s="1"/>
  <c r="F4" i="4"/>
  <c r="L4" i="4" s="1"/>
  <c r="L8" i="4" s="1"/>
  <c r="F6" i="4"/>
  <c r="L6" i="4" s="1"/>
  <c r="L10" i="4" s="1"/>
  <c r="F5" i="4"/>
  <c r="L5" i="4" s="1"/>
  <c r="M82" i="7" l="1"/>
  <c r="N82" i="7" s="1"/>
  <c r="F18" i="8" s="1"/>
  <c r="H18" i="8" s="1"/>
  <c r="M53" i="7"/>
  <c r="C61" i="7" s="1"/>
  <c r="L9" i="4"/>
  <c r="L13" i="4" s="1"/>
  <c r="L22" i="4"/>
  <c r="K21" i="4"/>
  <c r="L24" i="7"/>
  <c r="N1263" i="7"/>
  <c r="O1263" i="7" s="1"/>
  <c r="N1234" i="7"/>
  <c r="O1234" i="7" s="1"/>
  <c r="O1290" i="7"/>
  <c r="N1290" i="7"/>
  <c r="O1287" i="7"/>
  <c r="N1287" i="7"/>
  <c r="O1261" i="7"/>
  <c r="N1261" i="7"/>
  <c r="O1237" i="7"/>
  <c r="N1237" i="7"/>
  <c r="O1289" i="7"/>
  <c r="N1289" i="7"/>
  <c r="O1239" i="7"/>
  <c r="N1239" i="7"/>
  <c r="O1236" i="7"/>
  <c r="N1236" i="7"/>
  <c r="C182" i="7"/>
  <c r="E1242" i="7"/>
  <c r="O1233" i="7"/>
  <c r="N1233" i="7"/>
  <c r="O1262" i="7"/>
  <c r="N1262" i="7"/>
  <c r="E1295" i="7"/>
  <c r="L1303" i="7" s="1"/>
  <c r="N1286" i="7"/>
  <c r="N1259" i="7"/>
  <c r="O1259" i="7" s="1"/>
  <c r="N1238" i="7"/>
  <c r="O1238" i="7" s="1"/>
  <c r="N1292" i="7"/>
  <c r="O1292" i="7" s="1"/>
  <c r="N1258" i="7"/>
  <c r="O1258" i="7" s="1"/>
  <c r="C680" i="7"/>
  <c r="N673" i="7"/>
  <c r="N701" i="7"/>
  <c r="N1288" i="7"/>
  <c r="O1288" i="7"/>
  <c r="E1266" i="7"/>
  <c r="N1257" i="7"/>
  <c r="E1267" i="7" s="1"/>
  <c r="N1291" i="7"/>
  <c r="O1291" i="7" s="1"/>
  <c r="O1235" i="7"/>
  <c r="N1235" i="7"/>
  <c r="O1260" i="7"/>
  <c r="N1260" i="7"/>
  <c r="K13" i="4"/>
  <c r="L25" i="4"/>
  <c r="K25" i="4" s="1"/>
  <c r="L26" i="4"/>
  <c r="L42" i="4" s="1"/>
  <c r="L46" i="4" s="1"/>
  <c r="L50" i="4" s="1"/>
  <c r="L66" i="4" s="1"/>
  <c r="J77" i="4"/>
  <c r="J81" i="4" s="1"/>
  <c r="J69" i="4"/>
  <c r="J73" i="4" s="1"/>
  <c r="J89" i="4" s="1"/>
  <c r="J93" i="4" s="1"/>
  <c r="J97" i="4" s="1"/>
  <c r="K20" i="4"/>
  <c r="L24" i="4"/>
  <c r="J46" i="4"/>
  <c r="J76" i="4"/>
  <c r="J80" i="4" s="1"/>
  <c r="J68" i="4"/>
  <c r="J72" i="4" s="1"/>
  <c r="J88" i="4" s="1"/>
  <c r="J92" i="4" s="1"/>
  <c r="J96" i="4" s="1"/>
  <c r="J79" i="4"/>
  <c r="J67" i="4"/>
  <c r="J71" i="4" s="1"/>
  <c r="J87" i="4" s="1"/>
  <c r="J91" i="4" s="1"/>
  <c r="J95" i="4" s="1"/>
  <c r="J38" i="4"/>
  <c r="J54" i="4" s="1"/>
  <c r="L29" i="4"/>
  <c r="K29" i="4" s="1"/>
  <c r="L14" i="4"/>
  <c r="K10" i="4"/>
  <c r="K8" i="4"/>
  <c r="L12" i="4"/>
  <c r="L19" i="4"/>
  <c r="L11" i="4"/>
  <c r="K7" i="4"/>
  <c r="K22" i="4"/>
  <c r="K9" i="4"/>
  <c r="C90" i="7" l="1"/>
  <c r="I14" i="8"/>
  <c r="N53" i="7"/>
  <c r="H14" i="8" s="1"/>
  <c r="K26" i="4"/>
  <c r="M24" i="7"/>
  <c r="O1257" i="7"/>
  <c r="E1268" i="7" s="1"/>
  <c r="E1296" i="7"/>
  <c r="L1302" i="7" s="1"/>
  <c r="M1302" i="7" s="1"/>
  <c r="O1286" i="7"/>
  <c r="E1297" i="7" s="1"/>
  <c r="E1243" i="7"/>
  <c r="E1244" i="7"/>
  <c r="C1251" i="7" s="1"/>
  <c r="L41" i="4"/>
  <c r="K41" i="4" s="1"/>
  <c r="K42" i="4"/>
  <c r="J84" i="4"/>
  <c r="J100" i="4" s="1"/>
  <c r="J83" i="4"/>
  <c r="J99" i="4" s="1"/>
  <c r="K46" i="4"/>
  <c r="J50" i="4"/>
  <c r="K24" i="4"/>
  <c r="L40" i="4"/>
  <c r="J58" i="4"/>
  <c r="J85" i="4"/>
  <c r="J101" i="4" s="1"/>
  <c r="K12" i="4"/>
  <c r="L28" i="4"/>
  <c r="L33" i="4"/>
  <c r="L27" i="4"/>
  <c r="K11" i="4"/>
  <c r="K19" i="4"/>
  <c r="L23" i="4"/>
  <c r="K14" i="4"/>
  <c r="L30" i="4"/>
  <c r="G24" i="8" l="1"/>
  <c r="H23" i="8" s="1"/>
  <c r="F23" i="8"/>
  <c r="I23" i="8" s="1"/>
  <c r="L45" i="4"/>
  <c r="K45" i="4" s="1"/>
  <c r="K50" i="4"/>
  <c r="J66" i="4"/>
  <c r="K66" i="4" s="1"/>
  <c r="N24" i="7"/>
  <c r="C1275" i="7"/>
  <c r="C1280" i="7"/>
  <c r="C1277" i="7"/>
  <c r="C1312" i="7"/>
  <c r="C1309" i="7"/>
  <c r="N1302" i="7"/>
  <c r="L49" i="4"/>
  <c r="J62" i="4"/>
  <c r="K40" i="4"/>
  <c r="L44" i="4"/>
  <c r="K23" i="4"/>
  <c r="L39" i="4"/>
  <c r="K27" i="4"/>
  <c r="L31" i="4"/>
  <c r="K33" i="4"/>
  <c r="L37" i="4"/>
  <c r="L34" i="4"/>
  <c r="K30" i="4"/>
  <c r="K28" i="4"/>
  <c r="L32" i="4"/>
  <c r="K49" i="4" l="1"/>
  <c r="L65" i="4"/>
  <c r="K65" i="4" s="1"/>
  <c r="K44" i="4"/>
  <c r="L48" i="4"/>
  <c r="K37" i="4"/>
  <c r="L53" i="4"/>
  <c r="L43" i="4"/>
  <c r="K39" i="4"/>
  <c r="J78" i="4"/>
  <c r="J70" i="4"/>
  <c r="J74" i="4" s="1"/>
  <c r="J90" i="4" s="1"/>
  <c r="J94" i="4" s="1"/>
  <c r="J98" i="4" s="1"/>
  <c r="K32" i="4"/>
  <c r="L36" i="4"/>
  <c r="L35" i="4"/>
  <c r="K31" i="4"/>
  <c r="L38" i="4"/>
  <c r="K34" i="4"/>
  <c r="K48" i="4" l="1"/>
  <c r="L64" i="4"/>
  <c r="K64" i="4" s="1"/>
  <c r="J82" i="4"/>
  <c r="K36" i="4"/>
  <c r="L52" i="4"/>
  <c r="K38" i="4"/>
  <c r="L54" i="4"/>
  <c r="K35" i="4"/>
  <c r="L51" i="4"/>
  <c r="K53" i="4"/>
  <c r="L57" i="4"/>
  <c r="K43" i="4"/>
  <c r="L47" i="4"/>
  <c r="M1123" i="1"/>
  <c r="K47" i="4" l="1"/>
  <c r="L63" i="4"/>
  <c r="K57" i="4"/>
  <c r="L61" i="4"/>
  <c r="L58" i="4"/>
  <c r="K54" i="4"/>
  <c r="J86" i="4"/>
  <c r="J102" i="4" s="1"/>
  <c r="K51" i="4"/>
  <c r="L55" i="4"/>
  <c r="K52" i="4"/>
  <c r="L56" i="4"/>
  <c r="D284" i="3"/>
  <c r="G281" i="3"/>
  <c r="D281" i="3"/>
  <c r="E281" i="3"/>
  <c r="E280" i="3"/>
  <c r="D280" i="3"/>
  <c r="F279" i="3"/>
  <c r="F278" i="3"/>
  <c r="F277" i="3"/>
  <c r="E278" i="3"/>
  <c r="D278" i="3"/>
  <c r="C277" i="3"/>
  <c r="C283" i="3" s="1"/>
  <c r="B277" i="3"/>
  <c r="B283" i="3" s="1"/>
  <c r="G276" i="3"/>
  <c r="G275" i="3"/>
  <c r="G274" i="3"/>
  <c r="F273" i="3"/>
  <c r="H273" i="3" s="1"/>
  <c r="D276" i="3"/>
  <c r="D275" i="3"/>
  <c r="D274" i="3"/>
  <c r="G272" i="3"/>
  <c r="G271" i="3"/>
  <c r="G270" i="3"/>
  <c r="D271" i="3"/>
  <c r="E271" i="3"/>
  <c r="E270" i="3"/>
  <c r="D270" i="3"/>
  <c r="F269" i="3"/>
  <c r="F268" i="3"/>
  <c r="F267" i="3"/>
  <c r="E268" i="3"/>
  <c r="D268" i="3"/>
  <c r="C267" i="3"/>
  <c r="C273" i="3" s="1"/>
  <c r="B267" i="3"/>
  <c r="B273" i="3" s="1"/>
  <c r="G266" i="3"/>
  <c r="I265" i="3" s="1"/>
  <c r="F265" i="3"/>
  <c r="D266" i="3"/>
  <c r="C259" i="3"/>
  <c r="B259" i="3"/>
  <c r="B265" i="3" s="1"/>
  <c r="G264" i="3"/>
  <c r="G263" i="3"/>
  <c r="I259" i="3" s="1"/>
  <c r="G262" i="3"/>
  <c r="D263" i="3"/>
  <c r="E263" i="3"/>
  <c r="E262" i="3"/>
  <c r="D262" i="3"/>
  <c r="O1068" i="1"/>
  <c r="O1069" i="1"/>
  <c r="E1074" i="1"/>
  <c r="E1073" i="1"/>
  <c r="E1072" i="1"/>
  <c r="E1071" i="1"/>
  <c r="E1070" i="1"/>
  <c r="F261" i="3"/>
  <c r="F260" i="3"/>
  <c r="E260" i="3"/>
  <c r="D260" i="3"/>
  <c r="F259" i="3"/>
  <c r="I273" i="3"/>
  <c r="H265" i="3"/>
  <c r="C265" i="3"/>
  <c r="G258" i="3"/>
  <c r="F257" i="3"/>
  <c r="D258" i="3"/>
  <c r="O1041" i="1"/>
  <c r="E1046" i="1"/>
  <c r="E1045" i="1"/>
  <c r="E1044" i="1"/>
  <c r="E1043" i="1"/>
  <c r="E1042" i="1"/>
  <c r="D255" i="3"/>
  <c r="E255" i="3"/>
  <c r="E254" i="3"/>
  <c r="D254" i="3"/>
  <c r="C251" i="3"/>
  <c r="C257" i="3" s="1"/>
  <c r="B251" i="3"/>
  <c r="B257" i="3" s="1"/>
  <c r="F253" i="3"/>
  <c r="F252" i="3"/>
  <c r="F251" i="3"/>
  <c r="H251" i="3" s="1"/>
  <c r="E252" i="3"/>
  <c r="D252" i="3"/>
  <c r="I257" i="3"/>
  <c r="H257" i="3"/>
  <c r="G250" i="3"/>
  <c r="F249" i="3"/>
  <c r="H249" i="3" s="1"/>
  <c r="D250" i="3"/>
  <c r="C243" i="3"/>
  <c r="C249" i="3" s="1"/>
  <c r="B243" i="3"/>
  <c r="B249" i="3" s="1"/>
  <c r="E1017" i="1"/>
  <c r="E1016" i="1"/>
  <c r="E1015" i="1"/>
  <c r="E1014" i="1"/>
  <c r="E1013" i="1"/>
  <c r="O1012" i="1"/>
  <c r="D247" i="3"/>
  <c r="D246" i="3"/>
  <c r="G248" i="3"/>
  <c r="E247" i="3"/>
  <c r="E246" i="3"/>
  <c r="F245" i="3"/>
  <c r="F243" i="3"/>
  <c r="F244" i="3"/>
  <c r="E244" i="3"/>
  <c r="D244" i="3"/>
  <c r="I249" i="3"/>
  <c r="H243" i="3"/>
  <c r="O983" i="1"/>
  <c r="N983" i="1"/>
  <c r="E986" i="1"/>
  <c r="E987" i="1"/>
  <c r="N977" i="1"/>
  <c r="E985" i="1"/>
  <c r="E984" i="1"/>
  <c r="M983" i="1"/>
  <c r="O981" i="1"/>
  <c r="O982" i="1"/>
  <c r="O980" i="1"/>
  <c r="O978" i="1"/>
  <c r="O979" i="1"/>
  <c r="O977" i="1"/>
  <c r="N978" i="1"/>
  <c r="N979" i="1"/>
  <c r="M979" i="1"/>
  <c r="M977" i="1"/>
  <c r="J977" i="1"/>
  <c r="F238" i="3"/>
  <c r="E241" i="3"/>
  <c r="E240" i="3"/>
  <c r="D241" i="3"/>
  <c r="D240" i="3"/>
  <c r="E238" i="3"/>
  <c r="D238" i="3"/>
  <c r="C237" i="3"/>
  <c r="B237" i="3"/>
  <c r="L1287" i="1"/>
  <c r="L1288" i="1"/>
  <c r="M1288" i="1" s="1"/>
  <c r="L1286" i="1"/>
  <c r="M1286" i="1" s="1"/>
  <c r="L1284" i="1"/>
  <c r="L1285" i="1"/>
  <c r="L1289" i="1"/>
  <c r="L1283" i="1"/>
  <c r="M1285" i="1"/>
  <c r="M1284" i="1"/>
  <c r="K1208" i="1"/>
  <c r="K1209" i="1"/>
  <c r="K1210" i="1"/>
  <c r="K1211" i="1"/>
  <c r="K1212" i="1"/>
  <c r="K1213" i="1"/>
  <c r="K1207" i="1"/>
  <c r="K1184" i="1"/>
  <c r="K1185" i="1"/>
  <c r="K1186" i="1"/>
  <c r="K1187" i="1"/>
  <c r="K1188" i="1"/>
  <c r="K1189" i="1"/>
  <c r="K1183" i="1"/>
  <c r="K1160" i="1"/>
  <c r="K1161" i="1"/>
  <c r="K1162" i="1"/>
  <c r="K1163" i="1"/>
  <c r="K1164" i="1"/>
  <c r="K1165" i="1"/>
  <c r="K1159" i="1"/>
  <c r="C1302" i="1"/>
  <c r="C1301" i="1"/>
  <c r="M1289" i="1"/>
  <c r="J1289" i="1"/>
  <c r="K1289" i="1" s="1"/>
  <c r="I1289" i="1"/>
  <c r="J1288" i="1"/>
  <c r="I1288" i="1"/>
  <c r="M1287" i="1"/>
  <c r="J1287" i="1"/>
  <c r="I1287" i="1"/>
  <c r="J1286" i="1"/>
  <c r="I1286" i="1"/>
  <c r="J1285" i="1"/>
  <c r="K1285" i="1" s="1"/>
  <c r="I1285" i="1"/>
  <c r="J1284" i="1"/>
  <c r="I1284" i="1"/>
  <c r="M1283" i="1"/>
  <c r="J1283" i="1"/>
  <c r="K1283" i="1" s="1"/>
  <c r="I1283" i="1"/>
  <c r="J1260" i="1"/>
  <c r="I1260" i="1"/>
  <c r="J1259" i="1"/>
  <c r="I1259" i="1"/>
  <c r="J1258" i="1"/>
  <c r="I1258" i="1"/>
  <c r="J1257" i="1"/>
  <c r="I1257" i="1"/>
  <c r="J1256" i="1"/>
  <c r="I1256" i="1"/>
  <c r="J1255" i="1"/>
  <c r="I1255" i="1"/>
  <c r="J1254" i="1"/>
  <c r="I1254" i="1"/>
  <c r="J1236" i="1"/>
  <c r="I1236" i="1"/>
  <c r="J1235" i="1"/>
  <c r="I1235" i="1"/>
  <c r="J1234" i="1"/>
  <c r="I1234" i="1"/>
  <c r="J1233" i="1"/>
  <c r="I1233" i="1"/>
  <c r="J1232" i="1"/>
  <c r="I1232" i="1"/>
  <c r="J1231" i="1"/>
  <c r="I1231" i="1"/>
  <c r="J1230" i="1"/>
  <c r="I1230" i="1"/>
  <c r="J1213" i="1"/>
  <c r="I1213" i="1"/>
  <c r="J1212" i="1"/>
  <c r="I1212" i="1"/>
  <c r="J1211" i="1"/>
  <c r="I1211" i="1"/>
  <c r="J1210" i="1"/>
  <c r="I1210" i="1"/>
  <c r="M1210" i="1" s="1"/>
  <c r="N1210" i="1" s="1"/>
  <c r="J1209" i="1"/>
  <c r="I1209" i="1"/>
  <c r="J1208" i="1"/>
  <c r="I1208" i="1"/>
  <c r="J1207" i="1"/>
  <c r="I1207" i="1"/>
  <c r="J1189" i="1"/>
  <c r="I1189" i="1"/>
  <c r="J1188" i="1"/>
  <c r="I1188" i="1"/>
  <c r="J1187" i="1"/>
  <c r="I1187" i="1"/>
  <c r="J1186" i="1"/>
  <c r="I1186" i="1"/>
  <c r="J1185" i="1"/>
  <c r="I1185" i="1"/>
  <c r="J1184" i="1"/>
  <c r="I1184" i="1"/>
  <c r="J1183" i="1"/>
  <c r="I1183" i="1"/>
  <c r="J1165" i="1"/>
  <c r="I1165" i="1"/>
  <c r="J1164" i="1"/>
  <c r="I1164" i="1"/>
  <c r="M1164" i="1" s="1"/>
  <c r="N1164" i="1" s="1"/>
  <c r="J1163" i="1"/>
  <c r="I1163" i="1"/>
  <c r="J1162" i="1"/>
  <c r="I1162" i="1"/>
  <c r="J1161" i="1"/>
  <c r="I1161" i="1"/>
  <c r="J1160" i="1"/>
  <c r="M1160" i="1" s="1"/>
  <c r="I1160" i="1"/>
  <c r="J1159" i="1"/>
  <c r="I1159" i="1"/>
  <c r="M1132" i="1"/>
  <c r="J1132" i="1"/>
  <c r="K1132" i="1" s="1"/>
  <c r="I1132" i="1"/>
  <c r="M1131" i="1"/>
  <c r="J1131" i="1"/>
  <c r="I1131" i="1"/>
  <c r="K1131" i="1" s="1"/>
  <c r="M1130" i="1"/>
  <c r="J1130" i="1"/>
  <c r="I1130" i="1"/>
  <c r="K1130" i="1" s="1"/>
  <c r="M1129" i="1"/>
  <c r="J1129" i="1"/>
  <c r="I1129" i="1"/>
  <c r="K1129" i="1" s="1"/>
  <c r="M1128" i="1"/>
  <c r="J1128" i="1"/>
  <c r="K1128" i="1" s="1"/>
  <c r="I1128" i="1"/>
  <c r="M1127" i="1"/>
  <c r="J1127" i="1"/>
  <c r="I1127" i="1"/>
  <c r="M1126" i="1"/>
  <c r="J1126" i="1"/>
  <c r="K1126" i="1" s="1"/>
  <c r="I1126" i="1"/>
  <c r="C1145" i="1"/>
  <c r="C1144" i="1"/>
  <c r="M1098" i="1"/>
  <c r="J1098" i="1"/>
  <c r="K1098" i="1" s="1"/>
  <c r="I1098" i="1"/>
  <c r="M1097" i="1"/>
  <c r="J1097" i="1"/>
  <c r="I1097" i="1"/>
  <c r="K1097" i="1" s="1"/>
  <c r="M1096" i="1"/>
  <c r="J1096" i="1"/>
  <c r="I1096" i="1"/>
  <c r="K1096" i="1" s="1"/>
  <c r="M1095" i="1"/>
  <c r="J1095" i="1"/>
  <c r="I1095" i="1"/>
  <c r="K1095" i="1" s="1"/>
  <c r="M1094" i="1"/>
  <c r="J1094" i="1"/>
  <c r="I1094" i="1"/>
  <c r="M1093" i="1"/>
  <c r="J1093" i="1"/>
  <c r="K1093" i="1" s="1"/>
  <c r="I1093" i="1"/>
  <c r="M1092" i="1"/>
  <c r="J1092" i="1"/>
  <c r="K1092" i="1" s="1"/>
  <c r="I1092" i="1"/>
  <c r="C1111" i="1"/>
  <c r="C1110" i="1"/>
  <c r="M1064" i="1"/>
  <c r="M1065" i="1"/>
  <c r="M1066" i="1"/>
  <c r="M1067" i="1"/>
  <c r="M1068" i="1"/>
  <c r="M1069" i="1"/>
  <c r="M1063" i="1"/>
  <c r="K56" i="4" l="1"/>
  <c r="L60" i="4"/>
  <c r="I267" i="3"/>
  <c r="K61" i="4"/>
  <c r="L77" i="4"/>
  <c r="L62" i="4"/>
  <c r="K58" i="4"/>
  <c r="L59" i="4"/>
  <c r="K55" i="4"/>
  <c r="H277" i="3"/>
  <c r="H267" i="3"/>
  <c r="H259" i="3"/>
  <c r="K1286" i="1"/>
  <c r="M1213" i="1"/>
  <c r="O1213" i="1" s="1"/>
  <c r="M1212" i="1"/>
  <c r="M1208" i="1"/>
  <c r="N1097" i="1"/>
  <c r="O1097" i="1" s="1"/>
  <c r="N1130" i="1"/>
  <c r="M1188" i="1"/>
  <c r="N1188" i="1" s="1"/>
  <c r="N1127" i="1"/>
  <c r="O1127" i="1" s="1"/>
  <c r="M1185" i="1"/>
  <c r="N1185" i="1" s="1"/>
  <c r="O1185" i="1" s="1"/>
  <c r="M1189" i="1"/>
  <c r="O1189" i="1" s="1"/>
  <c r="N1126" i="1"/>
  <c r="O1126" i="1" s="1"/>
  <c r="N1129" i="1"/>
  <c r="O1129" i="1" s="1"/>
  <c r="N1094" i="1"/>
  <c r="O1094" i="1" s="1"/>
  <c r="N1284" i="1"/>
  <c r="O1284" i="1" s="1"/>
  <c r="M1187" i="1"/>
  <c r="N1187" i="1" s="1"/>
  <c r="M1183" i="1"/>
  <c r="N1183" i="1" s="1"/>
  <c r="O1183" i="1" s="1"/>
  <c r="E1133" i="1"/>
  <c r="N1093" i="1"/>
  <c r="O1093" i="1" s="1"/>
  <c r="N1096" i="1"/>
  <c r="O1096" i="1" s="1"/>
  <c r="M1159" i="1"/>
  <c r="N1159" i="1" s="1"/>
  <c r="E1099" i="1"/>
  <c r="N1095" i="1"/>
  <c r="O1095" i="1" s="1"/>
  <c r="N1128" i="1"/>
  <c r="O1128" i="1" s="1"/>
  <c r="N1131" i="1"/>
  <c r="O1131" i="1" s="1"/>
  <c r="M1162" i="1"/>
  <c r="N1162" i="1" s="1"/>
  <c r="E1166" i="1"/>
  <c r="M1209" i="1"/>
  <c r="N1209" i="1" s="1"/>
  <c r="O1209" i="1" s="1"/>
  <c r="O1212" i="1"/>
  <c r="E1261" i="1"/>
  <c r="K1284" i="1"/>
  <c r="N1285" i="1"/>
  <c r="O1285" i="1" s="1"/>
  <c r="N1288" i="1"/>
  <c r="O1288" i="1" s="1"/>
  <c r="E1101" i="1"/>
  <c r="E1135" i="1"/>
  <c r="E1237" i="1"/>
  <c r="K1288" i="1"/>
  <c r="N1286" i="1"/>
  <c r="O1286" i="1" s="1"/>
  <c r="M1163" i="1"/>
  <c r="N1163" i="1" s="1"/>
  <c r="E1134" i="1"/>
  <c r="M1184" i="1"/>
  <c r="N1184" i="1" s="1"/>
  <c r="N1212" i="1"/>
  <c r="N1287" i="1"/>
  <c r="O1287" i="1" s="1"/>
  <c r="N1289" i="1"/>
  <c r="O1289" i="1" s="1"/>
  <c r="O1210" i="1"/>
  <c r="N1092" i="1"/>
  <c r="O1092" i="1" s="1"/>
  <c r="K1094" i="1"/>
  <c r="E1100" i="1"/>
  <c r="K1127" i="1"/>
  <c r="O1130" i="1"/>
  <c r="E1190" i="1"/>
  <c r="E1191" i="1"/>
  <c r="E1292" i="1"/>
  <c r="M1186" i="1"/>
  <c r="O1186" i="1" s="1"/>
  <c r="K1287" i="1"/>
  <c r="E1291" i="1"/>
  <c r="N1213" i="1"/>
  <c r="E1238" i="1"/>
  <c r="N1283" i="1"/>
  <c r="O1283" i="1" s="1"/>
  <c r="E1167" i="1"/>
  <c r="N1160" i="1"/>
  <c r="O1160" i="1" s="1"/>
  <c r="M1207" i="1"/>
  <c r="N1207" i="1" s="1"/>
  <c r="N1208" i="1"/>
  <c r="O1208" i="1" s="1"/>
  <c r="E1215" i="1"/>
  <c r="E1290" i="1"/>
  <c r="N1189" i="1"/>
  <c r="M1161" i="1"/>
  <c r="E1214" i="1"/>
  <c r="O1164" i="1"/>
  <c r="M1165" i="1"/>
  <c r="O1165" i="1" s="1"/>
  <c r="O1188" i="1"/>
  <c r="M1211" i="1"/>
  <c r="O1211" i="1" s="1"/>
  <c r="E1262" i="1"/>
  <c r="N1132" i="1"/>
  <c r="O1132" i="1" s="1"/>
  <c r="N1098" i="1"/>
  <c r="O1098" i="1" s="1"/>
  <c r="K77" i="4" l="1"/>
  <c r="L81" i="4"/>
  <c r="L75" i="4"/>
  <c r="K59" i="4"/>
  <c r="L69" i="4"/>
  <c r="K60" i="4"/>
  <c r="L76" i="4"/>
  <c r="L78" i="4"/>
  <c r="K62" i="4"/>
  <c r="L1230" i="1"/>
  <c r="L1258" i="1"/>
  <c r="L1256" i="1"/>
  <c r="L1257" i="1"/>
  <c r="L1254" i="1"/>
  <c r="L1259" i="1"/>
  <c r="L1260" i="1"/>
  <c r="L1255" i="1"/>
  <c r="O1187" i="1"/>
  <c r="L1233" i="1"/>
  <c r="K1230" i="1"/>
  <c r="L1236" i="1"/>
  <c r="L1235" i="1"/>
  <c r="L1234" i="1"/>
  <c r="L1231" i="1"/>
  <c r="K1231" i="1" s="1"/>
  <c r="L1232" i="1"/>
  <c r="O1162" i="1"/>
  <c r="O1163" i="1"/>
  <c r="L1143" i="1"/>
  <c r="L1109" i="1"/>
  <c r="E1168" i="1"/>
  <c r="O1159" i="1"/>
  <c r="E1192" i="1"/>
  <c r="N1186" i="1"/>
  <c r="E1193" i="1" s="1"/>
  <c r="E1103" i="1"/>
  <c r="N1161" i="1"/>
  <c r="E1169" i="1" s="1"/>
  <c r="O1184" i="1"/>
  <c r="E1194" i="1" s="1"/>
  <c r="C1201" i="1" s="1"/>
  <c r="N1211" i="1"/>
  <c r="E1217" i="1" s="1"/>
  <c r="E1293" i="1"/>
  <c r="L1299" i="1" s="1"/>
  <c r="E1136" i="1"/>
  <c r="L1142" i="1" s="1"/>
  <c r="G280" i="3" s="1"/>
  <c r="E1137" i="1"/>
  <c r="E1102" i="1"/>
  <c r="L1108" i="1" s="1"/>
  <c r="E1294" i="1"/>
  <c r="N1165" i="1"/>
  <c r="E1216" i="1"/>
  <c r="O1207" i="1"/>
  <c r="E1218" i="1" s="1"/>
  <c r="C1224" i="1" s="1"/>
  <c r="L1300" i="1"/>
  <c r="L82" i="4" l="1"/>
  <c r="K78" i="4"/>
  <c r="K69" i="4"/>
  <c r="L73" i="4"/>
  <c r="L79" i="4"/>
  <c r="K75" i="4"/>
  <c r="K81" i="4"/>
  <c r="L85" i="4"/>
  <c r="K85" i="4" s="1"/>
  <c r="H101" i="4" s="1"/>
  <c r="L70" i="4"/>
  <c r="K76" i="4"/>
  <c r="L80" i="4"/>
  <c r="L68" i="4"/>
  <c r="K63" i="4"/>
  <c r="L67" i="4"/>
  <c r="M1255" i="1"/>
  <c r="N1255" i="1" s="1"/>
  <c r="O1255" i="1" s="1"/>
  <c r="K1255" i="1"/>
  <c r="M1257" i="1"/>
  <c r="N1257" i="1" s="1"/>
  <c r="O1257" i="1" s="1"/>
  <c r="K1257" i="1"/>
  <c r="M1260" i="1"/>
  <c r="N1260" i="1" s="1"/>
  <c r="O1260" i="1" s="1"/>
  <c r="K1260" i="1"/>
  <c r="M1256" i="1"/>
  <c r="N1256" i="1" s="1"/>
  <c r="O1256" i="1" s="1"/>
  <c r="K1256" i="1"/>
  <c r="M1259" i="1"/>
  <c r="N1259" i="1" s="1"/>
  <c r="O1259" i="1" s="1"/>
  <c r="K1259" i="1"/>
  <c r="M1258" i="1"/>
  <c r="N1258" i="1" s="1"/>
  <c r="O1258" i="1" s="1"/>
  <c r="K1258" i="1"/>
  <c r="M1142" i="1"/>
  <c r="N1142" i="1" s="1"/>
  <c r="G282" i="3" s="1"/>
  <c r="I277" i="3" s="1"/>
  <c r="M1254" i="1"/>
  <c r="K1254" i="1"/>
  <c r="M1108" i="1"/>
  <c r="C1115" i="1" s="1"/>
  <c r="M1236" i="1"/>
  <c r="N1236" i="1" s="1"/>
  <c r="O1236" i="1" s="1"/>
  <c r="K1236" i="1"/>
  <c r="M1234" i="1"/>
  <c r="N1234" i="1" s="1"/>
  <c r="O1234" i="1" s="1"/>
  <c r="K1234" i="1"/>
  <c r="M1233" i="1"/>
  <c r="N1233" i="1" s="1"/>
  <c r="O1233" i="1" s="1"/>
  <c r="K1233" i="1"/>
  <c r="M1235" i="1"/>
  <c r="N1235" i="1" s="1"/>
  <c r="O1235" i="1" s="1"/>
  <c r="K1235" i="1"/>
  <c r="M1299" i="1"/>
  <c r="N1299" i="1" s="1"/>
  <c r="O1161" i="1"/>
  <c r="E1170" i="1" s="1"/>
  <c r="C1177" i="1" s="1"/>
  <c r="C1120" i="1"/>
  <c r="K101" i="4" l="1"/>
  <c r="I101" i="4"/>
  <c r="L101" i="4" s="1"/>
  <c r="S11" i="7"/>
  <c r="T11" i="7" s="1"/>
  <c r="K73" i="4"/>
  <c r="L89" i="4"/>
  <c r="K68" i="4"/>
  <c r="L72" i="4"/>
  <c r="K70" i="4"/>
  <c r="L74" i="4"/>
  <c r="K67" i="4"/>
  <c r="L71" i="4"/>
  <c r="K80" i="4"/>
  <c r="L84" i="4"/>
  <c r="K84" i="4" s="1"/>
  <c r="H100" i="4" s="1"/>
  <c r="L83" i="4"/>
  <c r="K83" i="4" s="1"/>
  <c r="H99" i="4" s="1"/>
  <c r="K79" i="4"/>
  <c r="L86" i="4"/>
  <c r="K86" i="4" s="1"/>
  <c r="H102" i="4" s="1"/>
  <c r="K82" i="4"/>
  <c r="C1152" i="1"/>
  <c r="C1306" i="1"/>
  <c r="C1149" i="1"/>
  <c r="C1117" i="1"/>
  <c r="N1254" i="1"/>
  <c r="E1263" i="1"/>
  <c r="N1108" i="1"/>
  <c r="C1309" i="1"/>
  <c r="K100" i="4" l="1"/>
  <c r="I100" i="4"/>
  <c r="L100" i="4" s="1"/>
  <c r="K99" i="4"/>
  <c r="I99" i="4"/>
  <c r="L99" i="4" s="1"/>
  <c r="K102" i="4"/>
  <c r="I102" i="4"/>
  <c r="L102" i="4" s="1"/>
  <c r="S9" i="7"/>
  <c r="T9" i="7" s="1"/>
  <c r="S12" i="7"/>
  <c r="T12" i="7" s="1"/>
  <c r="S10" i="7"/>
  <c r="T10" i="7" s="1"/>
  <c r="K71" i="4"/>
  <c r="L87" i="4"/>
  <c r="K72" i="4"/>
  <c r="L88" i="4"/>
  <c r="K74" i="4"/>
  <c r="L90" i="4"/>
  <c r="K89" i="4"/>
  <c r="L93" i="4"/>
  <c r="G284" i="3"/>
  <c r="I283" i="3" s="1"/>
  <c r="F283" i="3"/>
  <c r="H283" i="3" s="1"/>
  <c r="O1254" i="1"/>
  <c r="E1265" i="1" s="1"/>
  <c r="E1264" i="1"/>
  <c r="T14" i="7" l="1"/>
  <c r="K93" i="4"/>
  <c r="L97" i="4"/>
  <c r="K88" i="4"/>
  <c r="L92" i="4"/>
  <c r="L94" i="4"/>
  <c r="K90" i="4"/>
  <c r="K87" i="4"/>
  <c r="L91" i="4"/>
  <c r="C1277" i="1"/>
  <c r="C1274" i="1"/>
  <c r="C1272" i="1"/>
  <c r="G8" i="8" l="1"/>
  <c r="I7" i="8" s="1"/>
  <c r="F7" i="8"/>
  <c r="H7" i="8" s="1"/>
  <c r="K97" i="4"/>
  <c r="K94" i="4"/>
  <c r="L98" i="4"/>
  <c r="K91" i="4"/>
  <c r="L95" i="4"/>
  <c r="K95" i="4" s="1"/>
  <c r="K92" i="4"/>
  <c r="L96" i="4"/>
  <c r="I1069" i="1"/>
  <c r="J1069" i="1"/>
  <c r="I1068" i="1"/>
  <c r="K1068" i="1" s="1"/>
  <c r="J1068" i="1"/>
  <c r="N1068" i="1" s="1"/>
  <c r="C1082" i="1"/>
  <c r="C1081" i="1"/>
  <c r="J1067" i="1"/>
  <c r="I1067" i="1"/>
  <c r="J1066" i="1"/>
  <c r="I1066" i="1"/>
  <c r="J1065" i="1"/>
  <c r="I1065" i="1"/>
  <c r="J1064" i="1"/>
  <c r="I1064" i="1"/>
  <c r="J1063" i="1"/>
  <c r="I1063" i="1"/>
  <c r="K98" i="4" l="1"/>
  <c r="K96" i="4"/>
  <c r="K1063" i="1"/>
  <c r="N1063" i="1"/>
  <c r="O1063" i="1" s="1"/>
  <c r="N1065" i="1"/>
  <c r="O1065" i="1" s="1"/>
  <c r="K1065" i="1"/>
  <c r="N1069" i="1"/>
  <c r="K1069" i="1"/>
  <c r="K1067" i="1"/>
  <c r="K1066" i="1"/>
  <c r="N1064" i="1"/>
  <c r="O1064" i="1" s="1"/>
  <c r="K1064" i="1"/>
  <c r="J1041" i="1"/>
  <c r="I1041" i="1"/>
  <c r="J1040" i="1"/>
  <c r="I1040" i="1"/>
  <c r="M1040" i="1" s="1"/>
  <c r="J1039" i="1"/>
  <c r="I1039" i="1"/>
  <c r="J1038" i="1"/>
  <c r="I1038" i="1"/>
  <c r="J1037" i="1"/>
  <c r="I1037" i="1"/>
  <c r="J1036" i="1"/>
  <c r="M1036" i="1" s="1"/>
  <c r="I1036" i="1"/>
  <c r="J1035" i="1"/>
  <c r="M1035" i="1" s="1"/>
  <c r="I1035" i="1"/>
  <c r="C1053" i="1"/>
  <c r="C1052" i="1"/>
  <c r="C1025" i="1"/>
  <c r="C1024" i="1"/>
  <c r="J1012" i="1"/>
  <c r="I1012" i="1"/>
  <c r="J1011" i="1"/>
  <c r="I1011" i="1"/>
  <c r="J1010" i="1"/>
  <c r="I1010" i="1"/>
  <c r="J1009" i="1"/>
  <c r="I1009" i="1"/>
  <c r="M1009" i="1" s="1"/>
  <c r="N1009" i="1" s="1"/>
  <c r="J1008" i="1"/>
  <c r="I1008" i="1"/>
  <c r="J1007" i="1"/>
  <c r="I1007" i="1"/>
  <c r="J1006" i="1"/>
  <c r="M1006" i="1" s="1"/>
  <c r="I1006" i="1"/>
  <c r="I983" i="1"/>
  <c r="J983" i="1"/>
  <c r="I982" i="1"/>
  <c r="J982" i="1"/>
  <c r="C996" i="1"/>
  <c r="C995" i="1"/>
  <c r="J981" i="1"/>
  <c r="I981" i="1"/>
  <c r="J980" i="1"/>
  <c r="I980" i="1"/>
  <c r="J979" i="1"/>
  <c r="I979" i="1"/>
  <c r="J978" i="1"/>
  <c r="I978" i="1"/>
  <c r="I977" i="1"/>
  <c r="L994" i="1" l="1"/>
  <c r="F237" i="3"/>
  <c r="N1067" i="1"/>
  <c r="O1067" i="1" s="1"/>
  <c r="N1066" i="1"/>
  <c r="L1080" i="1"/>
  <c r="M1039" i="1"/>
  <c r="N1039" i="1" s="1"/>
  <c r="N1035" i="1"/>
  <c r="O1035" i="1" s="1"/>
  <c r="O1040" i="1"/>
  <c r="N1036" i="1"/>
  <c r="O1036" i="1" s="1"/>
  <c r="M1037" i="1"/>
  <c r="N1037" i="1" s="1"/>
  <c r="N1040" i="1"/>
  <c r="M1041" i="1"/>
  <c r="N1041" i="1" s="1"/>
  <c r="M1038" i="1"/>
  <c r="N1038" i="1" s="1"/>
  <c r="M1011" i="1"/>
  <c r="O1011" i="1" s="1"/>
  <c r="M981" i="1"/>
  <c r="M1010" i="1"/>
  <c r="N1010" i="1" s="1"/>
  <c r="M1007" i="1"/>
  <c r="N1007" i="1" s="1"/>
  <c r="O1009" i="1"/>
  <c r="M1008" i="1"/>
  <c r="M1012" i="1"/>
  <c r="N1006" i="1"/>
  <c r="O1006" i="1" s="1"/>
  <c r="M978" i="1"/>
  <c r="M980" i="1"/>
  <c r="N980" i="1" s="1"/>
  <c r="M982" i="1"/>
  <c r="D236" i="3"/>
  <c r="E232" i="3"/>
  <c r="D232" i="3"/>
  <c r="D230" i="3"/>
  <c r="D229" i="3"/>
  <c r="D228" i="3"/>
  <c r="C231" i="3"/>
  <c r="C235" i="3" s="1"/>
  <c r="B231" i="3"/>
  <c r="B235" i="3" s="1"/>
  <c r="C223" i="3"/>
  <c r="C227" i="3" s="1"/>
  <c r="B223" i="3"/>
  <c r="B227" i="3" s="1"/>
  <c r="C217" i="3"/>
  <c r="C221" i="3" s="1"/>
  <c r="B217" i="3"/>
  <c r="B221" i="3" s="1"/>
  <c r="C211" i="3"/>
  <c r="C215" i="3" s="1"/>
  <c r="B211" i="3"/>
  <c r="B215" i="3" s="1"/>
  <c r="C205" i="3"/>
  <c r="C209" i="3" s="1"/>
  <c r="B205" i="3"/>
  <c r="B209" i="3" s="1"/>
  <c r="E224" i="3"/>
  <c r="D224" i="3"/>
  <c r="D222" i="3"/>
  <c r="E218" i="3"/>
  <c r="D218" i="3"/>
  <c r="D216" i="3"/>
  <c r="D210" i="3"/>
  <c r="E212" i="3"/>
  <c r="D212" i="3"/>
  <c r="E206" i="3"/>
  <c r="D206" i="3"/>
  <c r="E202" i="3"/>
  <c r="D202" i="3"/>
  <c r="C201" i="3"/>
  <c r="B201" i="3"/>
  <c r="J955" i="1"/>
  <c r="M955" i="1" s="1"/>
  <c r="I955" i="1"/>
  <c r="J954" i="1"/>
  <c r="I954" i="1"/>
  <c r="J953" i="1"/>
  <c r="I953" i="1"/>
  <c r="J952" i="1"/>
  <c r="I952" i="1"/>
  <c r="J951" i="1"/>
  <c r="M951" i="1" s="1"/>
  <c r="I951" i="1"/>
  <c r="J927" i="1"/>
  <c r="F232" i="3" s="1"/>
  <c r="I927" i="1"/>
  <c r="J926" i="1"/>
  <c r="M926" i="1" s="1"/>
  <c r="N926" i="1" s="1"/>
  <c r="I926" i="1"/>
  <c r="J925" i="1"/>
  <c r="I925" i="1"/>
  <c r="J924" i="1"/>
  <c r="I924" i="1"/>
  <c r="J923" i="1"/>
  <c r="I923" i="1"/>
  <c r="J904" i="1"/>
  <c r="M904" i="1" s="1"/>
  <c r="N904" i="1" s="1"/>
  <c r="I904" i="1"/>
  <c r="J903" i="1"/>
  <c r="M903" i="1" s="1"/>
  <c r="N903" i="1" s="1"/>
  <c r="O903" i="1" s="1"/>
  <c r="I903" i="1"/>
  <c r="J902" i="1"/>
  <c r="I902" i="1"/>
  <c r="J901" i="1"/>
  <c r="I901" i="1"/>
  <c r="J900" i="1"/>
  <c r="M900" i="1" s="1"/>
  <c r="I900" i="1"/>
  <c r="J881" i="1"/>
  <c r="I881" i="1"/>
  <c r="J880" i="1"/>
  <c r="I880" i="1"/>
  <c r="J879" i="1"/>
  <c r="I879" i="1"/>
  <c r="J878" i="1"/>
  <c r="I878" i="1"/>
  <c r="J877" i="1"/>
  <c r="M877" i="1" s="1"/>
  <c r="N877" i="1" s="1"/>
  <c r="I877" i="1"/>
  <c r="J858" i="1"/>
  <c r="I858" i="1"/>
  <c r="J857" i="1"/>
  <c r="I857" i="1"/>
  <c r="J856" i="1"/>
  <c r="M856" i="1" s="1"/>
  <c r="I856" i="1"/>
  <c r="J855" i="1"/>
  <c r="M855" i="1" s="1"/>
  <c r="I855" i="1"/>
  <c r="J854" i="1"/>
  <c r="I854" i="1"/>
  <c r="F212" i="3"/>
  <c r="J833" i="1"/>
  <c r="M833" i="1" s="1"/>
  <c r="I833" i="1"/>
  <c r="J832" i="1"/>
  <c r="I832" i="1"/>
  <c r="J831" i="1"/>
  <c r="I831" i="1"/>
  <c r="F239" i="3" l="1"/>
  <c r="H237" i="3" s="1"/>
  <c r="L993" i="1"/>
  <c r="M993" i="1" s="1"/>
  <c r="O1039" i="1"/>
  <c r="N981" i="1"/>
  <c r="L1079" i="1"/>
  <c r="M1079" i="1" s="1"/>
  <c r="O1066" i="1"/>
  <c r="N1011" i="1"/>
  <c r="L1023" i="1"/>
  <c r="G247" i="3" s="1"/>
  <c r="O1037" i="1"/>
  <c r="L1050" i="1"/>
  <c r="G254" i="3" s="1"/>
  <c r="O1038" i="1"/>
  <c r="F202" i="3"/>
  <c r="F224" i="3"/>
  <c r="O1007" i="1"/>
  <c r="F211" i="3"/>
  <c r="F231" i="3"/>
  <c r="O1010" i="1"/>
  <c r="N1012" i="1"/>
  <c r="N1008" i="1"/>
  <c r="O1008" i="1" s="1"/>
  <c r="F218" i="3"/>
  <c r="G241" i="3"/>
  <c r="F205" i="3"/>
  <c r="F206" i="3"/>
  <c r="F217" i="3"/>
  <c r="F223" i="3"/>
  <c r="N982" i="1"/>
  <c r="G240" i="3" s="1"/>
  <c r="F201" i="3"/>
  <c r="E988" i="1"/>
  <c r="E957" i="1"/>
  <c r="E860" i="1"/>
  <c r="M881" i="1"/>
  <c r="N881" i="1" s="1"/>
  <c r="O881" i="1" s="1"/>
  <c r="M953" i="1"/>
  <c r="N953" i="1" s="1"/>
  <c r="O953" i="1" s="1"/>
  <c r="E929" i="1"/>
  <c r="M925" i="1"/>
  <c r="N925" i="1" s="1"/>
  <c r="O925" i="1" s="1"/>
  <c r="E883" i="1"/>
  <c r="E906" i="1"/>
  <c r="M954" i="1"/>
  <c r="N954" i="1" s="1"/>
  <c r="E884" i="1"/>
  <c r="E837" i="1"/>
  <c r="M878" i="1"/>
  <c r="N878" i="1" s="1"/>
  <c r="N833" i="1"/>
  <c r="O833" i="1" s="1"/>
  <c r="O904" i="1"/>
  <c r="N855" i="1"/>
  <c r="O855" i="1" s="1"/>
  <c r="O926" i="1"/>
  <c r="E907" i="1"/>
  <c r="N951" i="1"/>
  <c r="M952" i="1"/>
  <c r="N952" i="1" s="1"/>
  <c r="N955" i="1"/>
  <c r="O955" i="1" s="1"/>
  <c r="M880" i="1"/>
  <c r="M902" i="1"/>
  <c r="M924" i="1"/>
  <c r="E958" i="1"/>
  <c r="M831" i="1"/>
  <c r="N856" i="1"/>
  <c r="O856" i="1" s="1"/>
  <c r="M857" i="1"/>
  <c r="N857" i="1" s="1"/>
  <c r="O877" i="1"/>
  <c r="M879" i="1"/>
  <c r="N900" i="1"/>
  <c r="M901" i="1"/>
  <c r="M923" i="1"/>
  <c r="N923" i="1" s="1"/>
  <c r="O923" i="1" s="1"/>
  <c r="M927" i="1"/>
  <c r="N927" i="1" s="1"/>
  <c r="E930" i="1"/>
  <c r="N831" i="1"/>
  <c r="M832" i="1"/>
  <c r="M854" i="1"/>
  <c r="M858" i="1"/>
  <c r="N858" i="1" s="1"/>
  <c r="E861" i="1"/>
  <c r="C193" i="3"/>
  <c r="C199" i="3" s="1"/>
  <c r="B193" i="3"/>
  <c r="B199" i="3" s="1"/>
  <c r="D200" i="3"/>
  <c r="D197" i="3"/>
  <c r="E197" i="3"/>
  <c r="E196" i="3"/>
  <c r="D196" i="3"/>
  <c r="E194" i="3"/>
  <c r="D194" i="3"/>
  <c r="D192" i="3"/>
  <c r="D191" i="3"/>
  <c r="D190" i="3"/>
  <c r="D187" i="3"/>
  <c r="E187" i="3"/>
  <c r="E186" i="3"/>
  <c r="D186" i="3"/>
  <c r="E184" i="3"/>
  <c r="D184" i="3"/>
  <c r="C183" i="3"/>
  <c r="C189" i="3" s="1"/>
  <c r="B183" i="3"/>
  <c r="B189" i="3" s="1"/>
  <c r="D182" i="3"/>
  <c r="D179" i="3"/>
  <c r="E179" i="3"/>
  <c r="E178" i="3"/>
  <c r="D178" i="3"/>
  <c r="E176" i="3"/>
  <c r="D176" i="3"/>
  <c r="C175" i="3"/>
  <c r="C181" i="3" s="1"/>
  <c r="B175" i="3"/>
  <c r="B181" i="3" s="1"/>
  <c r="D171" i="3"/>
  <c r="E171" i="3"/>
  <c r="E170" i="3"/>
  <c r="D170" i="3"/>
  <c r="D174" i="3"/>
  <c r="E168" i="3"/>
  <c r="D168" i="3"/>
  <c r="C167" i="3"/>
  <c r="C173" i="3" s="1"/>
  <c r="B167" i="3"/>
  <c r="B173" i="3" s="1"/>
  <c r="D166" i="3"/>
  <c r="D163" i="3"/>
  <c r="E163" i="3"/>
  <c r="D162" i="3"/>
  <c r="E162" i="3"/>
  <c r="E160" i="3"/>
  <c r="D160" i="3"/>
  <c r="C159" i="3"/>
  <c r="C165" i="3" s="1"/>
  <c r="B159" i="3"/>
  <c r="B165" i="3" s="1"/>
  <c r="D157" i="3"/>
  <c r="E157" i="3"/>
  <c r="E156" i="3"/>
  <c r="D156" i="3"/>
  <c r="E154" i="3"/>
  <c r="D154" i="3"/>
  <c r="C153" i="3"/>
  <c r="B153" i="3"/>
  <c r="C672" i="1"/>
  <c r="C700" i="1"/>
  <c r="C728" i="1"/>
  <c r="C817" i="1"/>
  <c r="C784" i="1"/>
  <c r="J804" i="1"/>
  <c r="F194" i="3" s="1"/>
  <c r="I804" i="1"/>
  <c r="J771" i="1"/>
  <c r="F184" i="3" s="1"/>
  <c r="I771" i="1"/>
  <c r="I743" i="1"/>
  <c r="J743" i="1"/>
  <c r="F176" i="3" s="1"/>
  <c r="J715" i="1"/>
  <c r="I715" i="1"/>
  <c r="J687" i="1"/>
  <c r="I687" i="1"/>
  <c r="I659" i="1"/>
  <c r="J659" i="1"/>
  <c r="F154" i="3" s="1"/>
  <c r="C818" i="1"/>
  <c r="J803" i="1"/>
  <c r="M803" i="1" s="1"/>
  <c r="N803" i="1" s="1"/>
  <c r="O803" i="1" s="1"/>
  <c r="I803" i="1"/>
  <c r="J802" i="1"/>
  <c r="M802" i="1" s="1"/>
  <c r="I802" i="1"/>
  <c r="J801" i="1"/>
  <c r="I801" i="1"/>
  <c r="J800" i="1"/>
  <c r="I800" i="1"/>
  <c r="C785" i="1"/>
  <c r="J770" i="1"/>
  <c r="I770" i="1"/>
  <c r="J769" i="1"/>
  <c r="I769" i="1"/>
  <c r="J768" i="1"/>
  <c r="M768" i="1" s="1"/>
  <c r="N768" i="1" s="1"/>
  <c r="O768" i="1" s="1"/>
  <c r="I768" i="1"/>
  <c r="J767" i="1"/>
  <c r="M767" i="1" s="1"/>
  <c r="I767" i="1"/>
  <c r="C757" i="1"/>
  <c r="C756" i="1"/>
  <c r="J742" i="1"/>
  <c r="I742" i="1"/>
  <c r="J741" i="1"/>
  <c r="I741" i="1"/>
  <c r="J740" i="1"/>
  <c r="I740" i="1"/>
  <c r="J739" i="1"/>
  <c r="M739" i="1" s="1"/>
  <c r="I739" i="1"/>
  <c r="C729" i="1"/>
  <c r="J714" i="1"/>
  <c r="I714" i="1"/>
  <c r="J713" i="1"/>
  <c r="M713" i="1" s="1"/>
  <c r="N713" i="1" s="1"/>
  <c r="I713" i="1"/>
  <c r="J712" i="1"/>
  <c r="I712" i="1"/>
  <c r="J711" i="1"/>
  <c r="M711" i="1" s="1"/>
  <c r="I711" i="1"/>
  <c r="C701" i="1"/>
  <c r="J686" i="1"/>
  <c r="I686" i="1"/>
  <c r="J685" i="1"/>
  <c r="M685" i="1" s="1"/>
  <c r="N685" i="1" s="1"/>
  <c r="I685" i="1"/>
  <c r="J684" i="1"/>
  <c r="M684" i="1" s="1"/>
  <c r="I684" i="1"/>
  <c r="J683" i="1"/>
  <c r="M683" i="1" s="1"/>
  <c r="I683" i="1"/>
  <c r="C673" i="1"/>
  <c r="J658" i="1"/>
  <c r="I658" i="1"/>
  <c r="J657" i="1"/>
  <c r="M657" i="1" s="1"/>
  <c r="I657" i="1"/>
  <c r="J656" i="1"/>
  <c r="M656" i="1" s="1"/>
  <c r="I656" i="1"/>
  <c r="J655" i="1"/>
  <c r="M655" i="1" s="1"/>
  <c r="I655" i="1"/>
  <c r="D152" i="3"/>
  <c r="E148" i="3"/>
  <c r="D148" i="3"/>
  <c r="C148" i="3"/>
  <c r="C151" i="3" s="1"/>
  <c r="B148" i="3"/>
  <c r="B151" i="3" s="1"/>
  <c r="D147" i="3"/>
  <c r="D146" i="3"/>
  <c r="D145" i="3"/>
  <c r="E141" i="3"/>
  <c r="D141" i="3"/>
  <c r="C141" i="3"/>
  <c r="C144" i="3" s="1"/>
  <c r="B141" i="3"/>
  <c r="B144" i="3" s="1"/>
  <c r="D140" i="3"/>
  <c r="E136" i="3"/>
  <c r="D136" i="3"/>
  <c r="C136" i="3"/>
  <c r="C139" i="3" s="1"/>
  <c r="C131" i="3"/>
  <c r="C134" i="3" s="1"/>
  <c r="B136" i="3"/>
  <c r="B139" i="3" s="1"/>
  <c r="D135" i="3"/>
  <c r="B131" i="3"/>
  <c r="B134" i="3" s="1"/>
  <c r="E131" i="3"/>
  <c r="D131" i="3"/>
  <c r="D130" i="3"/>
  <c r="E126" i="3"/>
  <c r="D126" i="3"/>
  <c r="C126" i="3"/>
  <c r="C129" i="3" s="1"/>
  <c r="B126" i="3"/>
  <c r="B129" i="3" s="1"/>
  <c r="E123" i="3"/>
  <c r="D123" i="3"/>
  <c r="C123" i="3"/>
  <c r="B123" i="3"/>
  <c r="J629" i="1"/>
  <c r="I629" i="1"/>
  <c r="J600" i="1"/>
  <c r="I600" i="1"/>
  <c r="E606" i="1" s="1"/>
  <c r="J577" i="1"/>
  <c r="I577" i="1"/>
  <c r="E583" i="1" s="1"/>
  <c r="J554" i="1"/>
  <c r="I554" i="1"/>
  <c r="E560" i="1" s="1"/>
  <c r="I531" i="1"/>
  <c r="E537" i="1" s="1"/>
  <c r="J508" i="1"/>
  <c r="I508" i="1"/>
  <c r="E514" i="1" s="1"/>
  <c r="E636" i="1"/>
  <c r="E635" i="1"/>
  <c r="C614" i="1"/>
  <c r="D122" i="3"/>
  <c r="D119" i="3"/>
  <c r="E119" i="3"/>
  <c r="E118" i="3"/>
  <c r="D118" i="3"/>
  <c r="E116" i="3"/>
  <c r="D116" i="3"/>
  <c r="C116" i="3"/>
  <c r="C121" i="3" s="1"/>
  <c r="B116" i="3"/>
  <c r="B121" i="3" s="1"/>
  <c r="D115" i="3"/>
  <c r="D114" i="3"/>
  <c r="D113" i="3"/>
  <c r="D110" i="3"/>
  <c r="E110" i="3"/>
  <c r="E109" i="3"/>
  <c r="D109" i="3"/>
  <c r="E107" i="3"/>
  <c r="D107" i="3"/>
  <c r="C107" i="3"/>
  <c r="C112" i="3" s="1"/>
  <c r="B107" i="3"/>
  <c r="B112" i="3" s="1"/>
  <c r="D106" i="3"/>
  <c r="D103" i="3"/>
  <c r="E103" i="3"/>
  <c r="E102" i="3"/>
  <c r="D102" i="3"/>
  <c r="E100" i="3"/>
  <c r="D100" i="3"/>
  <c r="C100" i="3"/>
  <c r="C105" i="3" s="1"/>
  <c r="B100" i="3"/>
  <c r="B105" i="3" s="1"/>
  <c r="D99" i="3"/>
  <c r="D96" i="3"/>
  <c r="E96" i="3"/>
  <c r="E95" i="3"/>
  <c r="D95" i="3"/>
  <c r="E93" i="3"/>
  <c r="D93" i="3"/>
  <c r="C93" i="3"/>
  <c r="C98" i="3" s="1"/>
  <c r="B93" i="3"/>
  <c r="B98" i="3" s="1"/>
  <c r="D92" i="3"/>
  <c r="D89" i="3"/>
  <c r="E89" i="3"/>
  <c r="E88" i="3"/>
  <c r="D88" i="3"/>
  <c r="E86" i="3"/>
  <c r="D86" i="3"/>
  <c r="C86" i="3"/>
  <c r="C91" i="3" s="1"/>
  <c r="B86" i="3"/>
  <c r="B91" i="3" s="1"/>
  <c r="D84" i="3"/>
  <c r="E84" i="3"/>
  <c r="E83" i="3"/>
  <c r="D83" i="3"/>
  <c r="E81" i="3"/>
  <c r="D81" i="3"/>
  <c r="C81" i="3"/>
  <c r="B81" i="3"/>
  <c r="J477" i="1"/>
  <c r="I477" i="1"/>
  <c r="E483" i="1" s="1"/>
  <c r="J444" i="1"/>
  <c r="I444" i="1"/>
  <c r="E450" i="1" s="1"/>
  <c r="J390" i="1"/>
  <c r="I390" i="1"/>
  <c r="J389" i="1"/>
  <c r="M389" i="1" s="1"/>
  <c r="I389" i="1"/>
  <c r="J388" i="1"/>
  <c r="M388" i="1" s="1"/>
  <c r="I388" i="1"/>
  <c r="J362" i="1"/>
  <c r="I362" i="1"/>
  <c r="J361" i="1"/>
  <c r="M361" i="1" s="1"/>
  <c r="I361" i="1"/>
  <c r="J360" i="1"/>
  <c r="M360" i="1" s="1"/>
  <c r="N360" i="1" s="1"/>
  <c r="I360" i="1"/>
  <c r="C495" i="1"/>
  <c r="C494" i="1"/>
  <c r="C462" i="1"/>
  <c r="C461" i="1"/>
  <c r="C434" i="1"/>
  <c r="C433" i="1"/>
  <c r="J416" i="1"/>
  <c r="M416" i="1" s="1"/>
  <c r="I416" i="1"/>
  <c r="E422" i="1" s="1"/>
  <c r="C406" i="1"/>
  <c r="C405" i="1"/>
  <c r="C378" i="1"/>
  <c r="C377" i="1"/>
  <c r="C350" i="1"/>
  <c r="C349" i="1"/>
  <c r="J334" i="1"/>
  <c r="I334" i="1"/>
  <c r="J333" i="1"/>
  <c r="I333" i="1"/>
  <c r="J332" i="1"/>
  <c r="M332" i="1" s="1"/>
  <c r="I332" i="1"/>
  <c r="D79" i="3"/>
  <c r="D80" i="3"/>
  <c r="C76" i="3"/>
  <c r="C79" i="3" s="1"/>
  <c r="B76" i="3"/>
  <c r="B79" i="3" s="1"/>
  <c r="D75" i="3"/>
  <c r="D74" i="3"/>
  <c r="D73" i="3"/>
  <c r="C69" i="3"/>
  <c r="C72" i="3" s="1"/>
  <c r="B69" i="3"/>
  <c r="B72" i="3" s="1"/>
  <c r="D68" i="3"/>
  <c r="C64" i="3"/>
  <c r="C67" i="3" s="1"/>
  <c r="B64" i="3"/>
  <c r="B67" i="3" s="1"/>
  <c r="C59" i="3"/>
  <c r="C62" i="3" s="1"/>
  <c r="B59" i="3"/>
  <c r="B62" i="3" s="1"/>
  <c r="D58" i="3"/>
  <c r="C54" i="3"/>
  <c r="C57" i="3" s="1"/>
  <c r="B54" i="3"/>
  <c r="B57" i="3" s="1"/>
  <c r="C51" i="3"/>
  <c r="B51" i="3"/>
  <c r="J309" i="1"/>
  <c r="M309" i="1" s="1"/>
  <c r="I309" i="1"/>
  <c r="J308" i="1"/>
  <c r="M308" i="1" s="1"/>
  <c r="N308" i="1" s="1"/>
  <c r="I308" i="1"/>
  <c r="J307" i="1"/>
  <c r="M307" i="1" s="1"/>
  <c r="I307" i="1"/>
  <c r="J306" i="1"/>
  <c r="I306" i="1"/>
  <c r="C291" i="1"/>
  <c r="J280" i="1"/>
  <c r="M280" i="1" s="1"/>
  <c r="N280" i="1" s="1"/>
  <c r="O280" i="1" s="1"/>
  <c r="I280" i="1"/>
  <c r="J279" i="1"/>
  <c r="I279" i="1"/>
  <c r="J278" i="1"/>
  <c r="M278" i="1" s="1"/>
  <c r="I278" i="1"/>
  <c r="J277" i="1"/>
  <c r="M277" i="1" s="1"/>
  <c r="I277" i="1"/>
  <c r="J257" i="1"/>
  <c r="M257" i="1" s="1"/>
  <c r="N257" i="1" s="1"/>
  <c r="O257" i="1" s="1"/>
  <c r="I257" i="1"/>
  <c r="J256" i="1"/>
  <c r="I256" i="1"/>
  <c r="J255" i="1"/>
  <c r="M255" i="1" s="1"/>
  <c r="I255" i="1"/>
  <c r="J254" i="1"/>
  <c r="M254" i="1" s="1"/>
  <c r="I254" i="1"/>
  <c r="J234" i="1"/>
  <c r="M234" i="1" s="1"/>
  <c r="N234" i="1" s="1"/>
  <c r="O234" i="1" s="1"/>
  <c r="I234" i="1"/>
  <c r="J233" i="1"/>
  <c r="I233" i="1"/>
  <c r="J232" i="1"/>
  <c r="M232" i="1" s="1"/>
  <c r="I232" i="1"/>
  <c r="J231" i="1"/>
  <c r="M231" i="1" s="1"/>
  <c r="I231" i="1"/>
  <c r="J211" i="1"/>
  <c r="M211" i="1" s="1"/>
  <c r="N211" i="1" s="1"/>
  <c r="O211" i="1" s="1"/>
  <c r="I211" i="1"/>
  <c r="J210" i="1"/>
  <c r="I210" i="1"/>
  <c r="J209" i="1"/>
  <c r="M209" i="1" s="1"/>
  <c r="I209" i="1"/>
  <c r="J208" i="1"/>
  <c r="M208" i="1" s="1"/>
  <c r="I208" i="1"/>
  <c r="J188" i="1"/>
  <c r="I188" i="1"/>
  <c r="J187" i="1"/>
  <c r="I187" i="1"/>
  <c r="J186" i="1"/>
  <c r="I186" i="1"/>
  <c r="J185" i="1"/>
  <c r="M185" i="1" s="1"/>
  <c r="I185" i="1"/>
  <c r="D50" i="3"/>
  <c r="D47" i="3"/>
  <c r="E47" i="3"/>
  <c r="E46" i="3"/>
  <c r="D46" i="3"/>
  <c r="C44" i="3"/>
  <c r="C49" i="3" s="1"/>
  <c r="B44" i="3"/>
  <c r="B49" i="3" s="1"/>
  <c r="D43" i="3"/>
  <c r="D42" i="3"/>
  <c r="D41" i="3"/>
  <c r="D38" i="3"/>
  <c r="E38" i="3"/>
  <c r="E37" i="3"/>
  <c r="D37" i="3"/>
  <c r="C35" i="3"/>
  <c r="C40" i="3" s="1"/>
  <c r="B35" i="3"/>
  <c r="B40" i="3" s="1"/>
  <c r="D34" i="3"/>
  <c r="D31" i="3"/>
  <c r="E31" i="3"/>
  <c r="E30" i="3"/>
  <c r="D30" i="3"/>
  <c r="C28" i="3"/>
  <c r="C33" i="3" s="1"/>
  <c r="B28" i="3"/>
  <c r="B33" i="3" s="1"/>
  <c r="E24" i="3"/>
  <c r="E23" i="3"/>
  <c r="D24" i="3"/>
  <c r="D23" i="3"/>
  <c r="C21" i="3"/>
  <c r="C26" i="3" s="1"/>
  <c r="B21" i="3"/>
  <c r="B26" i="3" s="1"/>
  <c r="D20" i="3"/>
  <c r="E17" i="3"/>
  <c r="E16" i="3"/>
  <c r="D17" i="3"/>
  <c r="D16" i="3"/>
  <c r="C14" i="3"/>
  <c r="C19" i="3" s="1"/>
  <c r="B14" i="3"/>
  <c r="B19" i="3" s="1"/>
  <c r="E12" i="3"/>
  <c r="E11" i="3"/>
  <c r="D12" i="3"/>
  <c r="D11" i="3"/>
  <c r="C9" i="3"/>
  <c r="B9" i="3"/>
  <c r="J157" i="1"/>
  <c r="I157" i="1"/>
  <c r="J156" i="1"/>
  <c r="M156" i="1" s="1"/>
  <c r="I156" i="1"/>
  <c r="J155" i="1"/>
  <c r="M155" i="1" s="1"/>
  <c r="N155" i="1" s="1"/>
  <c r="I155" i="1"/>
  <c r="J154" i="1"/>
  <c r="M154" i="1" s="1"/>
  <c r="N154" i="1" s="1"/>
  <c r="O154" i="1" s="1"/>
  <c r="I154" i="1"/>
  <c r="J124" i="1"/>
  <c r="I124" i="1"/>
  <c r="J123" i="1"/>
  <c r="M123" i="1" s="1"/>
  <c r="I123" i="1"/>
  <c r="J122" i="1"/>
  <c r="M122" i="1" s="1"/>
  <c r="I122" i="1"/>
  <c r="J121" i="1"/>
  <c r="I121" i="1"/>
  <c r="J96" i="1"/>
  <c r="I96" i="1"/>
  <c r="J95" i="1"/>
  <c r="M95" i="1" s="1"/>
  <c r="I95" i="1"/>
  <c r="J94" i="1"/>
  <c r="M94" i="1" s="1"/>
  <c r="I94" i="1"/>
  <c r="J93" i="1"/>
  <c r="I93" i="1"/>
  <c r="J68" i="1"/>
  <c r="I68" i="1"/>
  <c r="J67" i="1"/>
  <c r="I67" i="1"/>
  <c r="J66" i="1"/>
  <c r="M66" i="1" s="1"/>
  <c r="N66" i="1" s="1"/>
  <c r="I66" i="1"/>
  <c r="J65" i="1"/>
  <c r="M65" i="1" s="1"/>
  <c r="N65" i="1" s="1"/>
  <c r="O65" i="1" s="1"/>
  <c r="I65" i="1"/>
  <c r="J40" i="1"/>
  <c r="M40" i="1" s="1"/>
  <c r="N40" i="1" s="1"/>
  <c r="O40" i="1" s="1"/>
  <c r="I40" i="1"/>
  <c r="J39" i="1"/>
  <c r="I39" i="1"/>
  <c r="J38" i="1"/>
  <c r="M38" i="1" s="1"/>
  <c r="I38" i="1"/>
  <c r="J37" i="1"/>
  <c r="M37" i="1" s="1"/>
  <c r="I37" i="1"/>
  <c r="J10" i="1"/>
  <c r="J11" i="1"/>
  <c r="J12" i="1"/>
  <c r="I10" i="1"/>
  <c r="I11" i="1"/>
  <c r="I12" i="1"/>
  <c r="J9" i="1"/>
  <c r="I9" i="1"/>
  <c r="C139" i="1"/>
  <c r="C110" i="1"/>
  <c r="C111" i="1"/>
  <c r="N993" i="1" l="1"/>
  <c r="C1086" i="1"/>
  <c r="N1079" i="1"/>
  <c r="L1051" i="1"/>
  <c r="E908" i="1"/>
  <c r="L1022" i="1"/>
  <c r="E689" i="1"/>
  <c r="O857" i="1"/>
  <c r="E959" i="1"/>
  <c r="F160" i="3"/>
  <c r="E366" i="1"/>
  <c r="F175" i="3"/>
  <c r="F168" i="3"/>
  <c r="E885" i="1"/>
  <c r="O878" i="1"/>
  <c r="M800" i="1"/>
  <c r="N800" i="1" s="1"/>
  <c r="F167" i="3"/>
  <c r="E312" i="1"/>
  <c r="E661" i="1"/>
  <c r="E717" i="1"/>
  <c r="M712" i="1"/>
  <c r="N712" i="1" s="1"/>
  <c r="O712" i="1" s="1"/>
  <c r="E745" i="1"/>
  <c r="M740" i="1"/>
  <c r="N740" i="1" s="1"/>
  <c r="O740" i="1" s="1"/>
  <c r="M741" i="1"/>
  <c r="N741" i="1" s="1"/>
  <c r="M659" i="1"/>
  <c r="N659" i="1" s="1"/>
  <c r="O659" i="1" s="1"/>
  <c r="F183" i="3"/>
  <c r="F193" i="3"/>
  <c r="N879" i="1"/>
  <c r="O879" i="1" s="1"/>
  <c r="E960" i="1"/>
  <c r="O954" i="1"/>
  <c r="O685" i="1"/>
  <c r="E690" i="1"/>
  <c r="E773" i="1"/>
  <c r="M769" i="1"/>
  <c r="N769" i="1" s="1"/>
  <c r="E806" i="1"/>
  <c r="F153" i="3"/>
  <c r="F159" i="3"/>
  <c r="O952" i="1"/>
  <c r="E862" i="1"/>
  <c r="O951" i="1"/>
  <c r="O927" i="1"/>
  <c r="O858" i="1"/>
  <c r="E931" i="1"/>
  <c r="N901" i="1"/>
  <c r="O901" i="1" s="1"/>
  <c r="O900" i="1"/>
  <c r="N854" i="1"/>
  <c r="E863" i="1" s="1"/>
  <c r="E839" i="1"/>
  <c r="N880" i="1"/>
  <c r="O880" i="1" s="1"/>
  <c r="N924" i="1"/>
  <c r="E932" i="1" s="1"/>
  <c r="O831" i="1"/>
  <c r="N832" i="1"/>
  <c r="O832" i="1" s="1"/>
  <c r="N902" i="1"/>
  <c r="O902" i="1" s="1"/>
  <c r="M804" i="1"/>
  <c r="N804" i="1" s="1"/>
  <c r="M771" i="1"/>
  <c r="M743" i="1"/>
  <c r="N743" i="1" s="1"/>
  <c r="M715" i="1"/>
  <c r="N715" i="1" s="1"/>
  <c r="M687" i="1"/>
  <c r="N687" i="1" s="1"/>
  <c r="O687" i="1" s="1"/>
  <c r="N656" i="1"/>
  <c r="O656" i="1" s="1"/>
  <c r="N684" i="1"/>
  <c r="O684" i="1" s="1"/>
  <c r="O713" i="1"/>
  <c r="N657" i="1"/>
  <c r="O657" i="1" s="1"/>
  <c r="M658" i="1"/>
  <c r="N658" i="1" s="1"/>
  <c r="O658" i="1" s="1"/>
  <c r="E662" i="1"/>
  <c r="M686" i="1"/>
  <c r="N686" i="1" s="1"/>
  <c r="O686" i="1" s="1"/>
  <c r="M714" i="1"/>
  <c r="E718" i="1"/>
  <c r="M742" i="1"/>
  <c r="E746" i="1"/>
  <c r="M770" i="1"/>
  <c r="N770" i="1" s="1"/>
  <c r="O770" i="1" s="1"/>
  <c r="E774" i="1"/>
  <c r="M801" i="1"/>
  <c r="N801" i="1" s="1"/>
  <c r="O801" i="1" s="1"/>
  <c r="N655" i="1"/>
  <c r="O655" i="1" s="1"/>
  <c r="N683" i="1"/>
  <c r="N711" i="1"/>
  <c r="N739" i="1"/>
  <c r="N767" i="1"/>
  <c r="O767" i="1" s="1"/>
  <c r="N802" i="1"/>
  <c r="O802" i="1" s="1"/>
  <c r="E807" i="1"/>
  <c r="M629" i="1"/>
  <c r="E637" i="1" s="1"/>
  <c r="F148" i="3" s="1"/>
  <c r="M600" i="1"/>
  <c r="E584" i="1"/>
  <c r="M577" i="1"/>
  <c r="N577" i="1" s="1"/>
  <c r="E586" i="1" s="1"/>
  <c r="F137" i="3" s="1"/>
  <c r="M554" i="1"/>
  <c r="M531" i="1"/>
  <c r="E538" i="1"/>
  <c r="M508" i="1"/>
  <c r="E607" i="1"/>
  <c r="E515" i="1"/>
  <c r="E561" i="1"/>
  <c r="M477" i="1"/>
  <c r="E485" i="1" s="1"/>
  <c r="M444" i="1"/>
  <c r="N416" i="1"/>
  <c r="N388" i="1"/>
  <c r="O388" i="1" s="1"/>
  <c r="N389" i="1"/>
  <c r="O389" i="1" s="1"/>
  <c r="M390" i="1"/>
  <c r="E396" i="1" s="1"/>
  <c r="E394" i="1"/>
  <c r="O360" i="1"/>
  <c r="N361" i="1"/>
  <c r="O361" i="1" s="1"/>
  <c r="M362" i="1"/>
  <c r="E368" i="1" s="1"/>
  <c r="E338" i="1"/>
  <c r="M333" i="1"/>
  <c r="N333" i="1" s="1"/>
  <c r="O333" i="1" s="1"/>
  <c r="N332" i="1"/>
  <c r="O332" i="1" s="1"/>
  <c r="E484" i="1"/>
  <c r="M334" i="1"/>
  <c r="N334" i="1" s="1"/>
  <c r="E339" i="1"/>
  <c r="E367" i="1"/>
  <c r="E451" i="1"/>
  <c r="E395" i="1"/>
  <c r="E423" i="1"/>
  <c r="E283" i="1"/>
  <c r="E214" i="1"/>
  <c r="E260" i="1"/>
  <c r="E237" i="1"/>
  <c r="E191" i="1"/>
  <c r="M186" i="1"/>
  <c r="N186" i="1" s="1"/>
  <c r="M188" i="1"/>
  <c r="N188" i="1" s="1"/>
  <c r="O188" i="1" s="1"/>
  <c r="N209" i="1"/>
  <c r="O209" i="1" s="1"/>
  <c r="N232" i="1"/>
  <c r="O232" i="1" s="1"/>
  <c r="N255" i="1"/>
  <c r="O255" i="1" s="1"/>
  <c r="N278" i="1"/>
  <c r="O278" i="1" s="1"/>
  <c r="N307" i="1"/>
  <c r="O307" i="1" s="1"/>
  <c r="N208" i="1"/>
  <c r="N231" i="1"/>
  <c r="O231" i="1" s="1"/>
  <c r="N254" i="1"/>
  <c r="N277" i="1"/>
  <c r="O277" i="1" s="1"/>
  <c r="N185" i="1"/>
  <c r="O185" i="1" s="1"/>
  <c r="E313" i="1"/>
  <c r="M187" i="1"/>
  <c r="M210" i="1"/>
  <c r="N210" i="1" s="1"/>
  <c r="M233" i="1"/>
  <c r="E239" i="1" s="1"/>
  <c r="M256" i="1"/>
  <c r="E262" i="1" s="1"/>
  <c r="M279" i="1"/>
  <c r="E285" i="1" s="1"/>
  <c r="M306" i="1"/>
  <c r="E314" i="1" s="1"/>
  <c r="O308" i="1"/>
  <c r="N309" i="1"/>
  <c r="O309" i="1" s="1"/>
  <c r="E192" i="1"/>
  <c r="E215" i="1"/>
  <c r="E238" i="1"/>
  <c r="N256" i="1"/>
  <c r="E261" i="1"/>
  <c r="E284" i="1"/>
  <c r="E128" i="1"/>
  <c r="E127" i="1"/>
  <c r="E160" i="1"/>
  <c r="E161" i="1"/>
  <c r="E100" i="1"/>
  <c r="E99" i="1"/>
  <c r="E16" i="1"/>
  <c r="E15" i="1"/>
  <c r="E72" i="1"/>
  <c r="E43" i="1"/>
  <c r="E71" i="1"/>
  <c r="E44" i="1"/>
  <c r="M67" i="1"/>
  <c r="N67" i="1" s="1"/>
  <c r="O67" i="1" s="1"/>
  <c r="O155" i="1"/>
  <c r="N156" i="1"/>
  <c r="O156" i="1" s="1"/>
  <c r="M157" i="1"/>
  <c r="N157" i="1" s="1"/>
  <c r="O157" i="1" s="1"/>
  <c r="N122" i="1"/>
  <c r="O122" i="1" s="1"/>
  <c r="N123" i="1"/>
  <c r="O123" i="1" s="1"/>
  <c r="M124" i="1"/>
  <c r="M121" i="1"/>
  <c r="N94" i="1"/>
  <c r="O94" i="1" s="1"/>
  <c r="N95" i="1"/>
  <c r="O95" i="1" s="1"/>
  <c r="M96" i="1"/>
  <c r="M93" i="1"/>
  <c r="O66" i="1"/>
  <c r="M68" i="1"/>
  <c r="N68" i="1" s="1"/>
  <c r="N37" i="1"/>
  <c r="N38" i="1"/>
  <c r="O38" i="1" s="1"/>
  <c r="M39" i="1"/>
  <c r="N39" i="1" s="1"/>
  <c r="M1050" i="1" l="1"/>
  <c r="C1057" i="1" s="1"/>
  <c r="G255" i="3"/>
  <c r="M1022" i="1"/>
  <c r="G246" i="3"/>
  <c r="I243" i="3" s="1"/>
  <c r="E841" i="1"/>
  <c r="G214" i="3" s="1"/>
  <c r="C1000" i="1"/>
  <c r="N1050" i="1"/>
  <c r="G256" i="3" s="1"/>
  <c r="C1029" i="1"/>
  <c r="N1022" i="1"/>
  <c r="G242" i="3"/>
  <c r="I237" i="3" s="1"/>
  <c r="F225" i="3"/>
  <c r="H223" i="3" s="1"/>
  <c r="F233" i="3"/>
  <c r="H231" i="3" s="1"/>
  <c r="E961" i="1"/>
  <c r="O924" i="1"/>
  <c r="E933" i="1" s="1"/>
  <c r="G226" i="3" s="1"/>
  <c r="F116" i="3"/>
  <c r="F86" i="3"/>
  <c r="E193" i="1"/>
  <c r="F51" i="3" s="1"/>
  <c r="F93" i="3"/>
  <c r="E887" i="1"/>
  <c r="C894" i="1" s="1"/>
  <c r="G216" i="3" s="1"/>
  <c r="I215" i="3" s="1"/>
  <c r="O769" i="1"/>
  <c r="E719" i="1"/>
  <c r="L727" i="1" s="1"/>
  <c r="G171" i="3" s="1"/>
  <c r="E691" i="1"/>
  <c r="L699" i="1" s="1"/>
  <c r="G163" i="3" s="1"/>
  <c r="F69" i="3"/>
  <c r="O715" i="1"/>
  <c r="O804" i="1"/>
  <c r="O741" i="1"/>
  <c r="F64" i="3"/>
  <c r="E692" i="1"/>
  <c r="L698" i="1" s="1"/>
  <c r="F59" i="3"/>
  <c r="E808" i="1"/>
  <c r="L816" i="1" s="1"/>
  <c r="E886" i="1"/>
  <c r="F76" i="3"/>
  <c r="O800" i="1"/>
  <c r="E810" i="1" s="1"/>
  <c r="E910" i="1"/>
  <c r="E909" i="1"/>
  <c r="F219" i="3" s="1"/>
  <c r="H217" i="3" s="1"/>
  <c r="E840" i="1"/>
  <c r="O854" i="1"/>
  <c r="E864" i="1" s="1"/>
  <c r="C871" i="1" s="1"/>
  <c r="G210" i="3" s="1"/>
  <c r="I209" i="3" s="1"/>
  <c r="E809" i="1"/>
  <c r="N771" i="1"/>
  <c r="O771" i="1" s="1"/>
  <c r="E747" i="1"/>
  <c r="L755" i="1" s="1"/>
  <c r="G179" i="3" s="1"/>
  <c r="O743" i="1"/>
  <c r="O683" i="1"/>
  <c r="E693" i="1" s="1"/>
  <c r="E664" i="1"/>
  <c r="E775" i="1"/>
  <c r="L783" i="1" s="1"/>
  <c r="G187" i="3" s="1"/>
  <c r="E663" i="1"/>
  <c r="L671" i="1" s="1"/>
  <c r="G157" i="3" s="1"/>
  <c r="O739" i="1"/>
  <c r="E665" i="1"/>
  <c r="N742" i="1"/>
  <c r="O742" i="1" s="1"/>
  <c r="O711" i="1"/>
  <c r="N714" i="1"/>
  <c r="O714" i="1" s="1"/>
  <c r="N629" i="1"/>
  <c r="O629" i="1" s="1"/>
  <c r="E639" i="1" s="1"/>
  <c r="G150" i="3" s="1"/>
  <c r="I148" i="3" s="1"/>
  <c r="N600" i="1"/>
  <c r="E609" i="1" s="1"/>
  <c r="F142" i="3" s="1"/>
  <c r="O577" i="1"/>
  <c r="E587" i="1" s="1"/>
  <c r="N554" i="1"/>
  <c r="O554" i="1" s="1"/>
  <c r="E564" i="1" s="1"/>
  <c r="C571" i="1" s="1"/>
  <c r="G135" i="3" s="1"/>
  <c r="I134" i="3" s="1"/>
  <c r="N531" i="1"/>
  <c r="O531" i="1" s="1"/>
  <c r="N508" i="1"/>
  <c r="O508" i="1" s="1"/>
  <c r="E516" i="1"/>
  <c r="F123" i="3" s="1"/>
  <c r="E585" i="1"/>
  <c r="F136" i="3" s="1"/>
  <c r="H136" i="3" s="1"/>
  <c r="E539" i="1"/>
  <c r="F126" i="3" s="1"/>
  <c r="E608" i="1"/>
  <c r="F141" i="3" s="1"/>
  <c r="H141" i="3" s="1"/>
  <c r="E562" i="1"/>
  <c r="N477" i="1"/>
  <c r="O477" i="1" s="1"/>
  <c r="E487" i="1" s="1"/>
  <c r="L493" i="1"/>
  <c r="G119" i="3" s="1"/>
  <c r="N444" i="1"/>
  <c r="O444" i="1" s="1"/>
  <c r="E454" i="1" s="1"/>
  <c r="E452" i="1"/>
  <c r="N390" i="1"/>
  <c r="O390" i="1" s="1"/>
  <c r="E398" i="1" s="1"/>
  <c r="N362" i="1"/>
  <c r="O362" i="1" s="1"/>
  <c r="E340" i="1"/>
  <c r="L348" i="1" s="1"/>
  <c r="G84" i="3" s="1"/>
  <c r="E425" i="1"/>
  <c r="L376" i="1"/>
  <c r="G89" i="3" s="1"/>
  <c r="O416" i="1"/>
  <c r="O334" i="1"/>
  <c r="E342" i="1" s="1"/>
  <c r="E341" i="1"/>
  <c r="E424" i="1"/>
  <c r="F100" i="3" s="1"/>
  <c r="L404" i="1"/>
  <c r="G96" i="3" s="1"/>
  <c r="N279" i="1"/>
  <c r="O279" i="1" s="1"/>
  <c r="E287" i="1" s="1"/>
  <c r="G71" i="3" s="1"/>
  <c r="O256" i="1"/>
  <c r="E217" i="1"/>
  <c r="F55" i="3" s="1"/>
  <c r="N306" i="1"/>
  <c r="O306" i="1" s="1"/>
  <c r="E316" i="1" s="1"/>
  <c r="N233" i="1"/>
  <c r="O233" i="1" s="1"/>
  <c r="E241" i="1" s="1"/>
  <c r="N187" i="1"/>
  <c r="E194" i="1" s="1"/>
  <c r="F52" i="3" s="1"/>
  <c r="E263" i="1"/>
  <c r="F65" i="3" s="1"/>
  <c r="O186" i="1"/>
  <c r="O210" i="1"/>
  <c r="E216" i="1"/>
  <c r="F54" i="3" s="1"/>
  <c r="O254" i="1"/>
  <c r="O208" i="1"/>
  <c r="E286" i="1"/>
  <c r="F70" i="3" s="1"/>
  <c r="E164" i="1"/>
  <c r="E162" i="1"/>
  <c r="F44" i="3" s="1"/>
  <c r="E163" i="1"/>
  <c r="F45" i="3" s="1"/>
  <c r="E129" i="1"/>
  <c r="F35" i="3" s="1"/>
  <c r="E101" i="1"/>
  <c r="L109" i="1" s="1"/>
  <c r="G31" i="3" s="1"/>
  <c r="E73" i="1"/>
  <c r="L81" i="1" s="1"/>
  <c r="G24" i="3" s="1"/>
  <c r="O68" i="1"/>
  <c r="E75" i="1" s="1"/>
  <c r="E74" i="1"/>
  <c r="O39" i="1"/>
  <c r="O37" i="1"/>
  <c r="E46" i="1"/>
  <c r="F15" i="3" s="1"/>
  <c r="E45" i="1"/>
  <c r="L53" i="1" s="1"/>
  <c r="G17" i="3" s="1"/>
  <c r="N124" i="1"/>
  <c r="O124" i="1" s="1"/>
  <c r="N121" i="1"/>
  <c r="N93" i="1"/>
  <c r="N96" i="1"/>
  <c r="O96" i="1" s="1"/>
  <c r="C848" i="1" l="1"/>
  <c r="G204" i="3"/>
  <c r="I201" i="3" s="1"/>
  <c r="G208" i="3"/>
  <c r="F209" i="3" s="1"/>
  <c r="H209" i="3" s="1"/>
  <c r="I251" i="3"/>
  <c r="E369" i="1"/>
  <c r="F87" i="3" s="1"/>
  <c r="H86" i="3" s="1"/>
  <c r="F213" i="3"/>
  <c r="H211" i="3" s="1"/>
  <c r="F207" i="3"/>
  <c r="H205" i="3" s="1"/>
  <c r="F203" i="3"/>
  <c r="H201" i="3" s="1"/>
  <c r="G234" i="3"/>
  <c r="I231" i="3" s="1"/>
  <c r="C968" i="1"/>
  <c r="C971" i="1"/>
  <c r="F215" i="3"/>
  <c r="H215" i="3" s="1"/>
  <c r="I211" i="3"/>
  <c r="C917" i="1"/>
  <c r="G222" i="3" s="1"/>
  <c r="I221" i="3" s="1"/>
  <c r="G220" i="3"/>
  <c r="F227" i="3"/>
  <c r="H227" i="3" s="1"/>
  <c r="I223" i="3"/>
  <c r="C942" i="1"/>
  <c r="G229" i="3" s="1"/>
  <c r="C940" i="1"/>
  <c r="G228" i="3" s="1"/>
  <c r="C945" i="1"/>
  <c r="G230" i="3" s="1"/>
  <c r="E453" i="1"/>
  <c r="F108" i="3" s="1"/>
  <c r="E540" i="1"/>
  <c r="F127" i="3" s="1"/>
  <c r="H126" i="3" s="1"/>
  <c r="E638" i="1"/>
  <c r="F149" i="3" s="1"/>
  <c r="H148" i="3" s="1"/>
  <c r="E777" i="1"/>
  <c r="F81" i="3"/>
  <c r="F131" i="3"/>
  <c r="E240" i="1"/>
  <c r="F60" i="3" s="1"/>
  <c r="H59" i="3" s="1"/>
  <c r="H54" i="3"/>
  <c r="E517" i="1"/>
  <c r="F124" i="3" s="1"/>
  <c r="H123" i="3" s="1"/>
  <c r="H64" i="3"/>
  <c r="C594" i="1"/>
  <c r="G140" i="3" s="1"/>
  <c r="I139" i="3" s="1"/>
  <c r="G138" i="3"/>
  <c r="F72" i="3"/>
  <c r="H72" i="3" s="1"/>
  <c r="I69" i="3"/>
  <c r="G197" i="3"/>
  <c r="F101" i="3"/>
  <c r="H100" i="3" s="1"/>
  <c r="L431" i="1"/>
  <c r="G102" i="3" s="1"/>
  <c r="C248" i="1"/>
  <c r="G63" i="3" s="1"/>
  <c r="I62" i="3" s="1"/>
  <c r="G61" i="3"/>
  <c r="L347" i="1"/>
  <c r="G83" i="3" s="1"/>
  <c r="F82" i="3"/>
  <c r="L460" i="1"/>
  <c r="G110" i="3" s="1"/>
  <c r="F107" i="3"/>
  <c r="O187" i="1"/>
  <c r="E195" i="1" s="1"/>
  <c r="G78" i="3"/>
  <c r="I76" i="3" s="1"/>
  <c r="C323" i="1"/>
  <c r="C326" i="1"/>
  <c r="E397" i="1"/>
  <c r="L670" i="1"/>
  <c r="G156" i="3" s="1"/>
  <c r="F169" i="3"/>
  <c r="H167" i="3" s="1"/>
  <c r="F161" i="3"/>
  <c r="H159" i="3" s="1"/>
  <c r="F155" i="3"/>
  <c r="H153" i="3" s="1"/>
  <c r="L815" i="1"/>
  <c r="G196" i="3" s="1"/>
  <c r="F195" i="3"/>
  <c r="H193" i="3" s="1"/>
  <c r="M698" i="1"/>
  <c r="N698" i="1" s="1"/>
  <c r="G164" i="3" s="1"/>
  <c r="F165" i="3" s="1"/>
  <c r="H165" i="3" s="1"/>
  <c r="G162" i="3"/>
  <c r="L432" i="1"/>
  <c r="G103" i="3" s="1"/>
  <c r="H51" i="3"/>
  <c r="H69" i="3"/>
  <c r="E776" i="1"/>
  <c r="E749" i="1"/>
  <c r="E721" i="1"/>
  <c r="E720" i="1"/>
  <c r="L726" i="1" s="1"/>
  <c r="E748" i="1"/>
  <c r="O600" i="1"/>
  <c r="E610" i="1" s="1"/>
  <c r="E563" i="1"/>
  <c r="E518" i="1"/>
  <c r="E541" i="1"/>
  <c r="C649" i="1"/>
  <c r="C646" i="1"/>
  <c r="E486" i="1"/>
  <c r="E370" i="1"/>
  <c r="E426" i="1"/>
  <c r="C300" i="1"/>
  <c r="G75" i="3" s="1"/>
  <c r="C295" i="1"/>
  <c r="G73" i="3" s="1"/>
  <c r="C297" i="1"/>
  <c r="G74" i="3" s="1"/>
  <c r="E218" i="1"/>
  <c r="H44" i="3"/>
  <c r="E264" i="1"/>
  <c r="E315" i="1"/>
  <c r="F77" i="3" s="1"/>
  <c r="H76" i="3" s="1"/>
  <c r="F28" i="3"/>
  <c r="L80" i="1"/>
  <c r="G23" i="3" s="1"/>
  <c r="F22" i="3"/>
  <c r="F21" i="3"/>
  <c r="F14" i="3"/>
  <c r="H14" i="3" s="1"/>
  <c r="L52" i="1"/>
  <c r="O121" i="1"/>
  <c r="E131" i="1" s="1"/>
  <c r="E130" i="1"/>
  <c r="F36" i="3" s="1"/>
  <c r="H35" i="3" s="1"/>
  <c r="E47" i="1"/>
  <c r="O93" i="1"/>
  <c r="E103" i="1" s="1"/>
  <c r="E102" i="1"/>
  <c r="I205" i="3" l="1"/>
  <c r="L375" i="1"/>
  <c r="M375" i="1" s="1"/>
  <c r="N375" i="1" s="1"/>
  <c r="G90" i="3" s="1"/>
  <c r="F91" i="3" s="1"/>
  <c r="H91" i="3" s="1"/>
  <c r="F132" i="3"/>
  <c r="H131" i="3" s="1"/>
  <c r="I227" i="3"/>
  <c r="L459" i="1"/>
  <c r="G109" i="3" s="1"/>
  <c r="F221" i="3"/>
  <c r="H221" i="3" s="1"/>
  <c r="I217" i="3"/>
  <c r="G236" i="3"/>
  <c r="I235" i="3" s="1"/>
  <c r="F235" i="3"/>
  <c r="H235" i="3" s="1"/>
  <c r="M347" i="1"/>
  <c r="N347" i="1" s="1"/>
  <c r="G85" i="3" s="1"/>
  <c r="I81" i="3" s="1"/>
  <c r="M431" i="1"/>
  <c r="C438" i="1" s="1"/>
  <c r="G106" i="3" s="1"/>
  <c r="I105" i="3" s="1"/>
  <c r="H81" i="3"/>
  <c r="C705" i="1"/>
  <c r="G166" i="3" s="1"/>
  <c r="I165" i="3" s="1"/>
  <c r="C202" i="1"/>
  <c r="G53" i="3"/>
  <c r="I51" i="3" s="1"/>
  <c r="C548" i="1"/>
  <c r="G130" i="3" s="1"/>
  <c r="I129" i="3" s="1"/>
  <c r="G133" i="3"/>
  <c r="G128" i="3"/>
  <c r="L754" i="1"/>
  <c r="F177" i="3"/>
  <c r="H175" i="3" s="1"/>
  <c r="I159" i="3"/>
  <c r="C271" i="1"/>
  <c r="G68" i="3" s="1"/>
  <c r="I67" i="3" s="1"/>
  <c r="G66" i="3"/>
  <c r="I72" i="3"/>
  <c r="L492" i="1"/>
  <c r="F117" i="3"/>
  <c r="H116" i="3" s="1"/>
  <c r="F151" i="3"/>
  <c r="H151" i="3" s="1"/>
  <c r="G152" i="3"/>
  <c r="I151" i="3" s="1"/>
  <c r="G88" i="3"/>
  <c r="H107" i="3"/>
  <c r="I59" i="3"/>
  <c r="F62" i="3"/>
  <c r="H62" i="3" s="1"/>
  <c r="M815" i="1"/>
  <c r="F139" i="3"/>
  <c r="H139" i="3" s="1"/>
  <c r="I136" i="3"/>
  <c r="M726" i="1"/>
  <c r="C733" i="1" s="1"/>
  <c r="G174" i="3" s="1"/>
  <c r="I173" i="3" s="1"/>
  <c r="G170" i="3"/>
  <c r="C525" i="1"/>
  <c r="G125" i="3"/>
  <c r="I123" i="3" s="1"/>
  <c r="G80" i="3"/>
  <c r="I79" i="3" s="1"/>
  <c r="F79" i="3"/>
  <c r="H79" i="3" s="1"/>
  <c r="C225" i="1"/>
  <c r="G58" i="3" s="1"/>
  <c r="I57" i="3" s="1"/>
  <c r="F57" i="3"/>
  <c r="H57" i="3" s="1"/>
  <c r="G56" i="3"/>
  <c r="I54" i="3" s="1"/>
  <c r="C618" i="1"/>
  <c r="G145" i="3" s="1"/>
  <c r="G143" i="3"/>
  <c r="M670" i="1"/>
  <c r="L782" i="1"/>
  <c r="F185" i="3"/>
  <c r="H183" i="3" s="1"/>
  <c r="L403" i="1"/>
  <c r="F94" i="3"/>
  <c r="H93" i="3" s="1"/>
  <c r="N726" i="1"/>
  <c r="G172" i="3" s="1"/>
  <c r="F173" i="3" s="1"/>
  <c r="H173" i="3" s="1"/>
  <c r="C623" i="1"/>
  <c r="G147" i="3" s="1"/>
  <c r="C620" i="1"/>
  <c r="G146" i="3" s="1"/>
  <c r="M80" i="1"/>
  <c r="C87" i="1" s="1"/>
  <c r="G27" i="3" s="1"/>
  <c r="I26" i="3" s="1"/>
  <c r="L108" i="1"/>
  <c r="F29" i="3"/>
  <c r="H28" i="3" s="1"/>
  <c r="M52" i="1"/>
  <c r="C59" i="1" s="1"/>
  <c r="G20" i="3" s="1"/>
  <c r="I19" i="3" s="1"/>
  <c r="G16" i="3"/>
  <c r="H21" i="3"/>
  <c r="N431" i="1" l="1"/>
  <c r="G104" i="3" s="1"/>
  <c r="F105" i="3" s="1"/>
  <c r="H105" i="3" s="1"/>
  <c r="M459" i="1"/>
  <c r="C466" i="1" s="1"/>
  <c r="G113" i="3" s="1"/>
  <c r="C354" i="1"/>
  <c r="N80" i="1"/>
  <c r="G25" i="3" s="1"/>
  <c r="F26" i="3" s="1"/>
  <c r="H26" i="3" s="1"/>
  <c r="I144" i="3"/>
  <c r="F134" i="3"/>
  <c r="H134" i="3" s="1"/>
  <c r="I131" i="3"/>
  <c r="F67" i="3"/>
  <c r="H67" i="3" s="1"/>
  <c r="I64" i="3"/>
  <c r="C382" i="1"/>
  <c r="G92" i="3" s="1"/>
  <c r="I91" i="3" s="1"/>
  <c r="N670" i="1"/>
  <c r="G158" i="3" s="1"/>
  <c r="I153" i="3" s="1"/>
  <c r="C677" i="1"/>
  <c r="I167" i="3"/>
  <c r="C825" i="1"/>
  <c r="C822" i="1"/>
  <c r="N815" i="1"/>
  <c r="G198" i="3" s="1"/>
  <c r="I193" i="3" s="1"/>
  <c r="M754" i="1"/>
  <c r="G178" i="3"/>
  <c r="N52" i="1"/>
  <c r="G18" i="3" s="1"/>
  <c r="F19" i="3" s="1"/>
  <c r="H19" i="3" s="1"/>
  <c r="G186" i="3"/>
  <c r="M782" i="1"/>
  <c r="G95" i="3"/>
  <c r="M403" i="1"/>
  <c r="F144" i="3"/>
  <c r="H144" i="3" s="1"/>
  <c r="I141" i="3"/>
  <c r="I100" i="3"/>
  <c r="I86" i="3"/>
  <c r="M492" i="1"/>
  <c r="G118" i="3"/>
  <c r="F129" i="3"/>
  <c r="H129" i="3" s="1"/>
  <c r="I126" i="3"/>
  <c r="I21" i="3"/>
  <c r="M108" i="1"/>
  <c r="G30" i="3"/>
  <c r="C471" i="1" l="1"/>
  <c r="G115" i="3" s="1"/>
  <c r="C468" i="1"/>
  <c r="G114" i="3" s="1"/>
  <c r="N459" i="1"/>
  <c r="G111" i="3" s="1"/>
  <c r="C502" i="1"/>
  <c r="C499" i="1"/>
  <c r="N492" i="1"/>
  <c r="G120" i="3" s="1"/>
  <c r="I116" i="3" s="1"/>
  <c r="N403" i="1"/>
  <c r="G97" i="3" s="1"/>
  <c r="F98" i="3" s="1"/>
  <c r="H98" i="3" s="1"/>
  <c r="C410" i="1"/>
  <c r="G99" i="3" s="1"/>
  <c r="I98" i="3" s="1"/>
  <c r="G200" i="3"/>
  <c r="I199" i="3" s="1"/>
  <c r="F199" i="3"/>
  <c r="H199" i="3" s="1"/>
  <c r="I14" i="3"/>
  <c r="C789" i="1"/>
  <c r="G190" i="3" s="1"/>
  <c r="C791" i="1"/>
  <c r="G191" i="3" s="1"/>
  <c r="N782" i="1"/>
  <c r="G188" i="3" s="1"/>
  <c r="F189" i="3" s="1"/>
  <c r="H189" i="3" s="1"/>
  <c r="C794" i="1"/>
  <c r="G192" i="3" s="1"/>
  <c r="N754" i="1"/>
  <c r="G180" i="3" s="1"/>
  <c r="F181" i="3" s="1"/>
  <c r="H181" i="3" s="1"/>
  <c r="C761" i="1"/>
  <c r="G182" i="3" s="1"/>
  <c r="I181" i="3" s="1"/>
  <c r="N108" i="1"/>
  <c r="G32" i="3" s="1"/>
  <c r="F33" i="3" s="1"/>
  <c r="H33" i="3" s="1"/>
  <c r="C115" i="1"/>
  <c r="G34" i="3" s="1"/>
  <c r="I33" i="3" s="1"/>
  <c r="I112" i="3" l="1"/>
  <c r="F112" i="3"/>
  <c r="H112" i="3" s="1"/>
  <c r="I107" i="3"/>
  <c r="I175" i="3"/>
  <c r="I93" i="3"/>
  <c r="I189" i="3"/>
  <c r="G122" i="3"/>
  <c r="I121" i="3" s="1"/>
  <c r="F121" i="3"/>
  <c r="H121" i="3" s="1"/>
  <c r="I183" i="3"/>
  <c r="I28" i="3"/>
  <c r="C172" i="1" l="1"/>
  <c r="C83" i="1"/>
  <c r="C55" i="1"/>
  <c r="C27" i="1"/>
  <c r="M12" i="1" l="1"/>
  <c r="N12" i="1" s="1"/>
  <c r="M11" i="1"/>
  <c r="N11" i="1" s="1"/>
  <c r="M10" i="1"/>
  <c r="N10" i="1" s="1"/>
  <c r="M9" i="1"/>
  <c r="L170" i="1"/>
  <c r="G47" i="3" s="1"/>
  <c r="L137" i="1"/>
  <c r="G38" i="3" s="1"/>
  <c r="N9" i="1" l="1"/>
  <c r="O9" i="1" s="1"/>
  <c r="E17" i="1"/>
  <c r="O11" i="1"/>
  <c r="O10" i="1"/>
  <c r="O12" i="1"/>
  <c r="L169" i="1"/>
  <c r="L136" i="1"/>
  <c r="M169" i="1" l="1"/>
  <c r="C176" i="1" s="1"/>
  <c r="G46" i="3"/>
  <c r="L25" i="1"/>
  <c r="G12" i="3" s="1"/>
  <c r="F9" i="3"/>
  <c r="M136" i="1"/>
  <c r="C148" i="1" s="1"/>
  <c r="G43" i="3" s="1"/>
  <c r="G37" i="3"/>
  <c r="E19" i="1"/>
  <c r="E18" i="1"/>
  <c r="N136" i="1"/>
  <c r="G39" i="3" s="1"/>
  <c r="F40" i="3" s="1"/>
  <c r="H40" i="3" s="1"/>
  <c r="C179" i="1" l="1"/>
  <c r="N169" i="1"/>
  <c r="G48" i="3" s="1"/>
  <c r="I44" i="3" s="1"/>
  <c r="C143" i="1"/>
  <c r="G41" i="3" s="1"/>
  <c r="I35" i="3"/>
  <c r="G50" i="3"/>
  <c r="I49" i="3" s="1"/>
  <c r="F49" i="3"/>
  <c r="H49" i="3" s="1"/>
  <c r="C145" i="1"/>
  <c r="G42" i="3" s="1"/>
  <c r="L24" i="1"/>
  <c r="F10" i="3"/>
  <c r="H9" i="3" s="1"/>
  <c r="I40" i="3" l="1"/>
  <c r="M24" i="1"/>
  <c r="G11" i="3"/>
  <c r="C31" i="1" l="1"/>
  <c r="N24" i="1"/>
  <c r="G13" i="3" s="1"/>
  <c r="I9" i="3" s="1"/>
  <c r="M1230" i="1" l="1"/>
  <c r="N1230" i="1" s="1"/>
  <c r="O1230" i="1" l="1"/>
  <c r="M1232" i="1"/>
  <c r="K1232" i="1"/>
  <c r="M1231" i="1"/>
  <c r="E1239" i="1" s="1"/>
  <c r="N1232" i="1" l="1"/>
  <c r="O1232" i="1" s="1"/>
  <c r="N1231" i="1"/>
  <c r="E1240" i="1" l="1"/>
  <c r="O1231" i="1"/>
  <c r="E1241" i="1" s="1"/>
  <c r="C124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Meetclic</author>
  </authors>
  <commentList>
    <comment ref="A6" authorId="0" shapeId="0" xr:uid="{DE6025E8-908A-4C32-843C-BC35E5F828A5}">
      <text>
        <r>
          <rPr>
            <b/>
            <sz val="9"/>
            <color indexed="81"/>
            <rFont val="Tahoma"/>
            <charset val="1"/>
          </rPr>
          <t>Meetclic:</t>
        </r>
        <r>
          <rPr>
            <sz val="9"/>
            <color indexed="81"/>
            <rFont val="Tahoma"/>
            <charset val="1"/>
          </rPr>
          <t xml:space="preserve">
ESTE ES EL VALOR A PAGAR PENDIENTE</t>
        </r>
      </text>
    </comment>
    <comment ref="A9" authorId="0" shapeId="0" xr:uid="{003D1209-7A0E-4316-AC15-1C4229380025}">
      <text>
        <r>
          <rPr>
            <b/>
            <sz val="9"/>
            <color indexed="81"/>
            <rFont val="Tahoma"/>
            <charset val="1"/>
          </rPr>
          <t>Meetclic:</t>
        </r>
        <r>
          <rPr>
            <sz val="9"/>
            <color indexed="81"/>
            <rFont val="Tahoma"/>
            <charset val="1"/>
          </rPr>
          <t xml:space="preserve">
ESTE ES EL VALOR A PAGAR PENDIENTE</t>
        </r>
      </text>
    </comment>
    <comment ref="A12" authorId="0" shapeId="0" xr:uid="{B6D7D6C5-51AE-4A02-93C2-F519AB466016}">
      <text>
        <r>
          <rPr>
            <b/>
            <sz val="9"/>
            <color indexed="81"/>
            <rFont val="Tahoma"/>
            <charset val="1"/>
          </rPr>
          <t>Meetclic:</t>
        </r>
        <r>
          <rPr>
            <sz val="9"/>
            <color indexed="81"/>
            <rFont val="Tahoma"/>
            <charset val="1"/>
          </rPr>
          <t xml:space="preserve">
ESTE ES EL VALOR A PAGAR PENDIENTE</t>
        </r>
      </text>
    </comment>
    <comment ref="A15" authorId="0" shapeId="0" xr:uid="{A4D518FB-74AF-4F80-92FC-72F56522D795}">
      <text>
        <r>
          <rPr>
            <b/>
            <sz val="9"/>
            <color indexed="81"/>
            <rFont val="Tahoma"/>
            <charset val="1"/>
          </rPr>
          <t>Meetclic:</t>
        </r>
        <r>
          <rPr>
            <sz val="9"/>
            <color indexed="81"/>
            <rFont val="Tahoma"/>
            <charset val="1"/>
          </rPr>
          <t xml:space="preserve">
ESTE ES EL VALOR A PAGAR PENDIENTE</t>
        </r>
      </text>
    </comment>
    <comment ref="A18" authorId="0" shapeId="0" xr:uid="{C5636C15-F28B-41E7-A85B-349E4B8440E2}">
      <text>
        <r>
          <rPr>
            <b/>
            <sz val="9"/>
            <color indexed="81"/>
            <rFont val="Tahoma"/>
            <charset val="1"/>
          </rPr>
          <t>Meetclic:</t>
        </r>
        <r>
          <rPr>
            <sz val="9"/>
            <color indexed="81"/>
            <rFont val="Tahoma"/>
            <charset val="1"/>
          </rPr>
          <t xml:space="preserve">
ESTE ES EL VALOR A PAGAR PENDIENTE</t>
        </r>
      </text>
    </comment>
    <comment ref="A21" authorId="0" shapeId="0" xr:uid="{EC02D354-1685-459F-8BD9-1A3F8871BACC}">
      <text>
        <r>
          <rPr>
            <b/>
            <sz val="9"/>
            <color indexed="81"/>
            <rFont val="Tahoma"/>
            <charset val="1"/>
          </rPr>
          <t>Meetclic:</t>
        </r>
        <r>
          <rPr>
            <sz val="9"/>
            <color indexed="81"/>
            <rFont val="Tahoma"/>
            <charset val="1"/>
          </rPr>
          <t xml:space="preserve">
ESTE ES EL VALOR A PAGAR PENDIENTE</t>
        </r>
      </text>
    </comment>
    <comment ref="A24" authorId="0" shapeId="0" xr:uid="{7780DE85-11BE-4EBE-9C8D-D30A40E43D04}">
      <text>
        <r>
          <rPr>
            <b/>
            <sz val="9"/>
            <color indexed="81"/>
            <rFont val="Tahoma"/>
            <charset val="1"/>
          </rPr>
          <t>Meetclic:</t>
        </r>
        <r>
          <rPr>
            <sz val="9"/>
            <color indexed="81"/>
            <rFont val="Tahoma"/>
            <charset val="1"/>
          </rPr>
          <t xml:space="preserve">
ESTE ES EL VALOR A PAGAR PENDIENTE</t>
        </r>
      </text>
    </comment>
    <comment ref="A27" authorId="0" shapeId="0" xr:uid="{DEC1FBEF-1BC8-4AAA-A4C0-459E6F570233}">
      <text>
        <r>
          <rPr>
            <b/>
            <sz val="9"/>
            <color indexed="81"/>
            <rFont val="Tahoma"/>
            <charset val="1"/>
          </rPr>
          <t>Meetclic:</t>
        </r>
        <r>
          <rPr>
            <sz val="9"/>
            <color indexed="81"/>
            <rFont val="Tahoma"/>
            <charset val="1"/>
          </rPr>
          <t xml:space="preserve">
ESTE ES EL VALOR A PAGAR PENDIENTE</t>
        </r>
      </text>
    </comment>
    <comment ref="A30" authorId="0" shapeId="0" xr:uid="{4A351417-5476-4B7D-AB78-725CCE3D7F63}">
      <text>
        <r>
          <rPr>
            <b/>
            <sz val="9"/>
            <color indexed="81"/>
            <rFont val="Tahoma"/>
            <charset val="1"/>
          </rPr>
          <t>Meetclic:</t>
        </r>
        <r>
          <rPr>
            <sz val="9"/>
            <color indexed="81"/>
            <rFont val="Tahoma"/>
            <charset val="1"/>
          </rPr>
          <t xml:space="preserve">
ESTE ES EL VALOR A PAGAR PENDIENTE</t>
        </r>
      </text>
    </comment>
    <comment ref="A33" authorId="0" shapeId="0" xr:uid="{C71F588E-B575-4179-917D-DFB83FE1D6EF}">
      <text>
        <r>
          <rPr>
            <b/>
            <sz val="9"/>
            <color indexed="81"/>
            <rFont val="Tahoma"/>
            <charset val="1"/>
          </rPr>
          <t>Meetclic:</t>
        </r>
        <r>
          <rPr>
            <sz val="9"/>
            <color indexed="81"/>
            <rFont val="Tahoma"/>
            <charset val="1"/>
          </rPr>
          <t xml:space="preserve">
ESTE ES EL VALOR A PAGAR PENDIENTE</t>
        </r>
      </text>
    </comment>
    <comment ref="A36" authorId="0" shapeId="0" xr:uid="{8821A5E4-9FAB-4481-A6C3-D584FE42F104}">
      <text>
        <r>
          <rPr>
            <b/>
            <sz val="9"/>
            <color indexed="81"/>
            <rFont val="Tahoma"/>
            <charset val="1"/>
          </rPr>
          <t>Meetclic:</t>
        </r>
        <r>
          <rPr>
            <sz val="9"/>
            <color indexed="81"/>
            <rFont val="Tahoma"/>
            <charset val="1"/>
          </rPr>
          <t xml:space="preserve">
ESTE ES EL VALOR A PAGAR PENDIENTE</t>
        </r>
      </text>
    </comment>
    <comment ref="A39" authorId="0" shapeId="0" xr:uid="{8B77265F-FB43-4EA9-8AC8-9B4C689E256D}">
      <text>
        <r>
          <rPr>
            <b/>
            <sz val="9"/>
            <color indexed="81"/>
            <rFont val="Tahoma"/>
            <charset val="1"/>
          </rPr>
          <t>Meetclic:</t>
        </r>
        <r>
          <rPr>
            <sz val="9"/>
            <color indexed="81"/>
            <rFont val="Tahoma"/>
            <charset val="1"/>
          </rPr>
          <t xml:space="preserve">
ESTE ES EL VALOR A PAGAR PENDIENTE</t>
        </r>
      </text>
    </comment>
  </commentList>
</comments>
</file>

<file path=xl/sharedStrings.xml><?xml version="1.0" encoding="utf-8"?>
<sst xmlns="http://schemas.openxmlformats.org/spreadsheetml/2006/main" count="9527" uniqueCount="484">
  <si>
    <t>Nro Comprobante de autorizacion de retenciones</t>
  </si>
  <si>
    <t>G-EMPRESA-DOCUMENTOS AUTORIZADOS SRI</t>
  </si>
  <si>
    <t>COMPROBANTE DE RENTECION</t>
  </si>
  <si>
    <t>I-SD-R</t>
  </si>
  <si>
    <t>FACTURA COMPRA # 1</t>
  </si>
  <si>
    <t>FACTURA COMPRA</t>
  </si>
  <si>
    <t>Proveedor</t>
  </si>
  <si>
    <t>VICTOR LOPEZ SANDOVAL</t>
  </si>
  <si>
    <t>CANT</t>
  </si>
  <si>
    <t>CODIGO</t>
  </si>
  <si>
    <t>PRODUCTO/DESCRIP</t>
  </si>
  <si>
    <t>P. UNI</t>
  </si>
  <si>
    <t>DESC %</t>
  </si>
  <si>
    <t>DESC $</t>
  </si>
  <si>
    <t>IVA</t>
  </si>
  <si>
    <t>TOTAL</t>
  </si>
  <si>
    <t>CONTABILIDAD</t>
  </si>
  <si>
    <t>NRO CUENTA</t>
  </si>
  <si>
    <t>TIPO</t>
  </si>
  <si>
    <t>idProv</t>
  </si>
  <si>
    <t>1712458544001</t>
  </si>
  <si>
    <t>tpIdProv</t>
  </si>
  <si>
    <t>01</t>
  </si>
  <si>
    <t>Sustento T</t>
  </si>
  <si>
    <t>Credito tributario para declaracion de Iva (Servicios y bienes distintos de inventario)</t>
  </si>
  <si>
    <t>ACTIVOS-GASTOS</t>
  </si>
  <si>
    <t>codSustento</t>
  </si>
  <si>
    <t>Tipo Comp Aut</t>
  </si>
  <si>
    <t>FACTURA</t>
  </si>
  <si>
    <t>tipoComprobante</t>
  </si>
  <si>
    <t>autorizacion</t>
  </si>
  <si>
    <t>Fecha Emi</t>
  </si>
  <si>
    <t>Establecimiento</t>
  </si>
  <si>
    <t>001</t>
  </si>
  <si>
    <t>SUBTOTAL 0%</t>
  </si>
  <si>
    <t>Punto Emision</t>
  </si>
  <si>
    <t>SUBTOTAL 12%</t>
  </si>
  <si>
    <t>Secuencial</t>
  </si>
  <si>
    <t>123</t>
  </si>
  <si>
    <t>DESCUENTO</t>
  </si>
  <si>
    <t>DESC TOTAL</t>
  </si>
  <si>
    <t>396-12</t>
  </si>
  <si>
    <t>396-2507</t>
  </si>
  <si>
    <t>396-306</t>
  </si>
  <si>
    <t>362-2889</t>
  </si>
  <si>
    <t>INVENTARIO</t>
  </si>
  <si>
    <t>1.1.02.04.001</t>
  </si>
  <si>
    <t>RETENCION FACTURA COMPRA</t>
  </si>
  <si>
    <t>Establecimiento Ret1</t>
  </si>
  <si>
    <t>IMPUESTO</t>
  </si>
  <si>
    <t>VALOR RET.</t>
  </si>
  <si>
    <t>TOTAL RET</t>
  </si>
  <si>
    <t>Pto Emision Ret1</t>
  </si>
  <si>
    <t>Secuencial Ret 1</t>
  </si>
  <si>
    <t>502</t>
  </si>
  <si>
    <t>Nro Factura</t>
  </si>
  <si>
    <t>1.1.02.06.001</t>
  </si>
  <si>
    <t>Fecha</t>
  </si>
  <si>
    <t>Tipo de Pago</t>
  </si>
  <si>
    <t>Boton</t>
  </si>
  <si>
    <t>Cuenta Contable</t>
  </si>
  <si>
    <t>Valor a pagar</t>
  </si>
  <si>
    <t>FACTURA COMPRA # 2</t>
  </si>
  <si>
    <t>FACTURA COMPRA # 3</t>
  </si>
  <si>
    <t>FACTURA COMPRA # 4</t>
  </si>
  <si>
    <t>FACTURA COMPRA # 7</t>
  </si>
  <si>
    <t>FACTURA COMPRA # 12</t>
  </si>
  <si>
    <t xml:space="preserve">ILUMAX </t>
  </si>
  <si>
    <t>1708492408001</t>
  </si>
  <si>
    <t>Inventario</t>
  </si>
  <si>
    <t>INVENTARIO CREDITO TRIBUTARIO PARA DECLARACION DE IVA</t>
  </si>
  <si>
    <t>06</t>
  </si>
  <si>
    <t>I-SD-SR</t>
  </si>
  <si>
    <t>Otros con  utilización del sistema financiero</t>
  </si>
  <si>
    <t>Bancos XXX XXXX</t>
  </si>
  <si>
    <t>Bancos XYZ XYZ</t>
  </si>
  <si>
    <t>Sin utilización del sistema financiero</t>
  </si>
  <si>
    <t>MARIA ERCILIA SULCA</t>
  </si>
  <si>
    <t>0602285025001</t>
  </si>
  <si>
    <t>RESMAS DE PAPEL BOND</t>
  </si>
  <si>
    <t>Útiles y papelería</t>
  </si>
  <si>
    <t>5.2.01.02.011</t>
  </si>
  <si>
    <t>CAJAS DE ESFEROS</t>
  </si>
  <si>
    <t>AGENDAS</t>
  </si>
  <si>
    <t>Pendiente</t>
  </si>
  <si>
    <t>Proveedores</t>
  </si>
  <si>
    <t>Tipo de Desgloce</t>
  </si>
  <si>
    <t>Normal</t>
  </si>
  <si>
    <t>Pagar</t>
  </si>
  <si>
    <t>Caja General</t>
  </si>
  <si>
    <t>Tarjeta de Credito</t>
  </si>
  <si>
    <t>Sociedades Financieras</t>
  </si>
  <si>
    <t>Deuda</t>
  </si>
  <si>
    <t>Efectivo</t>
  </si>
  <si>
    <t>T. C.</t>
  </si>
  <si>
    <t>I006</t>
  </si>
  <si>
    <t>I007</t>
  </si>
  <si>
    <t>I008</t>
  </si>
  <si>
    <t>I009</t>
  </si>
  <si>
    <t>Azúl Con Dorado</t>
  </si>
  <si>
    <t>pino natural procesado con ceja izq</t>
  </si>
  <si>
    <t>pino natural peq. Procesado ceja</t>
  </si>
  <si>
    <t>pino natural procesado con ceja der</t>
  </si>
  <si>
    <t>I001</t>
  </si>
  <si>
    <t>ACEITE DE VASELINA GL.QF</t>
  </si>
  <si>
    <t>I002</t>
  </si>
  <si>
    <t>Bastidor</t>
  </si>
  <si>
    <t>I003</t>
  </si>
  <si>
    <t>Tira  Color Dorado Con Filos Negros De 7.5 Ancho</t>
  </si>
  <si>
    <t>I004</t>
  </si>
  <si>
    <t>Blanca Estucada Semimate</t>
  </si>
  <si>
    <t>I005</t>
  </si>
  <si>
    <t>Chocolate Estucada Semimate</t>
  </si>
  <si>
    <t>PRODUCTO INVENTARIO</t>
  </si>
  <si>
    <t>CT-COMPRAS49127</t>
  </si>
  <si>
    <t>Arriendo de Local</t>
  </si>
  <si>
    <t>CT-COMPRAS57289</t>
  </si>
  <si>
    <t>ANUNCIO PUBLICITARIO</t>
  </si>
  <si>
    <t>CT-COMPRAS52464</t>
  </si>
  <si>
    <t>CT-COMPRAS4105</t>
  </si>
  <si>
    <t>CT-COMPRAS49110</t>
  </si>
  <si>
    <t>CT-COMPRAS13417</t>
  </si>
  <si>
    <t>ALMUERZOS</t>
  </si>
  <si>
    <t>CT-COMPRAS45097</t>
  </si>
  <si>
    <t>PORTATIL HP</t>
  </si>
  <si>
    <t>CT-COMPRAS8826</t>
  </si>
  <si>
    <t>PAGO ENERGIA</t>
  </si>
  <si>
    <t>CT-COMPRAS45439</t>
  </si>
  <si>
    <t>MANTENIMIENTO EDIFICIO</t>
  </si>
  <si>
    <t>SP300</t>
  </si>
  <si>
    <t>SERVICIOS PRESTADOS 300</t>
  </si>
  <si>
    <t>SP1000</t>
  </si>
  <si>
    <t>SERVICIOS PRESTADOS 1000</t>
  </si>
  <si>
    <t>SP200</t>
  </si>
  <si>
    <t>SERVICIOS PRESTADOS 200</t>
  </si>
  <si>
    <t>SP2500</t>
  </si>
  <si>
    <t>SERVICIOS PRESTADOS 2500</t>
  </si>
  <si>
    <t>GASTOS O SERVICIOS</t>
  </si>
  <si>
    <t>VENTA SERVICIO</t>
  </si>
  <si>
    <t>SI</t>
  </si>
  <si>
    <t>MX 1 OP</t>
  </si>
  <si>
    <t>FACTURA COMPRA # 5</t>
  </si>
  <si>
    <t>MX 2 OP</t>
  </si>
  <si>
    <t>Mixto</t>
  </si>
  <si>
    <t>Con utilización del sistema financiero</t>
  </si>
  <si>
    <t>MX 1 OP + D</t>
  </si>
  <si>
    <t>FACTURA COMPRA # 6</t>
  </si>
  <si>
    <t>Diferencia</t>
  </si>
  <si>
    <t>SUBT 0%</t>
  </si>
  <si>
    <t>SUBT 12%</t>
  </si>
  <si>
    <t>BASE IMPONIBLE</t>
  </si>
  <si>
    <t>PORCENTAJE RETENCION</t>
  </si>
  <si>
    <t>CUENTA CONT.</t>
  </si>
  <si>
    <t>RENTA</t>
  </si>
  <si>
    <t>Porcentaje</t>
  </si>
  <si>
    <t>TOTAL FACT - RET</t>
  </si>
  <si>
    <t>100</t>
  </si>
  <si>
    <t>101</t>
  </si>
  <si>
    <t>102</t>
  </si>
  <si>
    <t>103</t>
  </si>
  <si>
    <t>104</t>
  </si>
  <si>
    <t>105</t>
  </si>
  <si>
    <t>501</t>
  </si>
  <si>
    <t>503</t>
  </si>
  <si>
    <t>506</t>
  </si>
  <si>
    <t>2.1.01.06.001</t>
  </si>
  <si>
    <t>2.1.01.07.006</t>
  </si>
  <si>
    <t>Retencion IVA por pagar 100%</t>
  </si>
  <si>
    <t>Impuesto a la renta por pagar 1%</t>
  </si>
  <si>
    <t>2.1.01.07.003</t>
  </si>
  <si>
    <t>Retencion IVA por pagar 30%</t>
  </si>
  <si>
    <t>2.1.01.06.003</t>
  </si>
  <si>
    <t>Impuesto a la renta por pagar 8%</t>
  </si>
  <si>
    <t>2.1.01.07.005</t>
  </si>
  <si>
    <t>Retencion IVA por pagar 70%</t>
  </si>
  <si>
    <t>2.1.01.06.002</t>
  </si>
  <si>
    <t>Impuesto a la renta por pagar 2%</t>
  </si>
  <si>
    <t>2.1.01.07.001</t>
  </si>
  <si>
    <t>Retencion IVA por pagar 10%</t>
  </si>
  <si>
    <t>2.1.01.07.004</t>
  </si>
  <si>
    <t>Retencion IVA por pagar 50%</t>
  </si>
  <si>
    <t>2.1.01.07.002</t>
  </si>
  <si>
    <t>Retencion IVA por pagar 20%</t>
  </si>
  <si>
    <t>ASIENTO</t>
  </si>
  <si>
    <t>FECHA</t>
  </si>
  <si>
    <t>DETALLE TRANSACCION</t>
  </si>
  <si>
    <t>DETALLE</t>
  </si>
  <si>
    <t>CUENTA CONTABLE</t>
  </si>
  <si>
    <t>DEBE</t>
  </si>
  <si>
    <t>HABER</t>
  </si>
  <si>
    <t>TOTAL DEBE</t>
  </si>
  <si>
    <t>TOTAL HABER</t>
  </si>
  <si>
    <t>ESI AL 1 DE FEBRERO DEL 2019</t>
  </si>
  <si>
    <t/>
  </si>
  <si>
    <t>Iva pagado</t>
  </si>
  <si>
    <t>Banco XXXXX XXXXX</t>
  </si>
  <si>
    <t>1.1.01.02.001</t>
  </si>
  <si>
    <t>Terrenos</t>
  </si>
  <si>
    <t>1.2.01.03.001</t>
  </si>
  <si>
    <t>Equipo de oficina</t>
  </si>
  <si>
    <t>1.2.01.01.001</t>
  </si>
  <si>
    <t>Cuentas por Pagar</t>
  </si>
  <si>
    <t>2.1.01.01.002</t>
  </si>
  <si>
    <t>Préstamos bancarios</t>
  </si>
  <si>
    <t>2.1.01.04.001</t>
  </si>
  <si>
    <t>Capital</t>
  </si>
  <si>
    <t>3.1.01.01.001</t>
  </si>
  <si>
    <t>GESTION DE PAGOS</t>
  </si>
  <si>
    <t>FACTURA COMPRA # 8</t>
  </si>
  <si>
    <t>FACTURA COMPRA # 9</t>
  </si>
  <si>
    <t>FACTURA COMPRA # 10</t>
  </si>
  <si>
    <t>FACTURA COMPRA # 11</t>
  </si>
  <si>
    <t>G-SD-R</t>
  </si>
  <si>
    <t>CT-COMPRAS43487</t>
  </si>
  <si>
    <t>CT-COMPRAS43488</t>
  </si>
  <si>
    <t>CT-COMPRAS43489</t>
  </si>
  <si>
    <t>SERVERCOMPU S.A.</t>
  </si>
  <si>
    <t>1791302400001</t>
  </si>
  <si>
    <t>ACTIVO FIJO - CREDITO TRIBUTARIO PARA DECLARACION DE IVA</t>
  </si>
  <si>
    <t>03</t>
  </si>
  <si>
    <t>456</t>
  </si>
  <si>
    <t>Equipos de computación</t>
  </si>
  <si>
    <t>1.2.01.01.002</t>
  </si>
  <si>
    <t>FACTURA COMPRA # 13</t>
  </si>
  <si>
    <t>FACTURA COMPRA # 14</t>
  </si>
  <si>
    <t>FACTURA COMPRA # 15</t>
  </si>
  <si>
    <t>FACTURA COMPRA # 16</t>
  </si>
  <si>
    <t>FACTURA COMPRA # 17</t>
  </si>
  <si>
    <t>FACTURA COMPRA # 18</t>
  </si>
  <si>
    <t>EL COMERCIO</t>
  </si>
  <si>
    <t>1792541654001</t>
  </si>
  <si>
    <t>002</t>
  </si>
  <si>
    <t>CT-COMPRAS43486</t>
  </si>
  <si>
    <t>Publicidad y propaganda</t>
  </si>
  <si>
    <t>5.2.01.02.006</t>
  </si>
  <si>
    <t>MARIA OLGA CHILLAGANA</t>
  </si>
  <si>
    <t>1707912430001</t>
  </si>
  <si>
    <t>atención al personal</t>
  </si>
  <si>
    <t>5.2.01.01.012</t>
  </si>
  <si>
    <t>FACTURA COMPRA # 19</t>
  </si>
  <si>
    <t>G-SD-SR</t>
  </si>
  <si>
    <t>FACTURA COMPRA # 20</t>
  </si>
  <si>
    <t>FACTURA COMPRA # 21</t>
  </si>
  <si>
    <t>FACTURA COMPRA # 22</t>
  </si>
  <si>
    <t>FACTURA COMPRA # 23</t>
  </si>
  <si>
    <t>FACTURA COMPRA # 24</t>
  </si>
  <si>
    <t>106</t>
  </si>
  <si>
    <t>107</t>
  </si>
  <si>
    <t>108</t>
  </si>
  <si>
    <t>109</t>
  </si>
  <si>
    <t>110</t>
  </si>
  <si>
    <t>111</t>
  </si>
  <si>
    <t>112</t>
  </si>
  <si>
    <t>113</t>
  </si>
  <si>
    <t>1486</t>
  </si>
  <si>
    <t>1487</t>
  </si>
  <si>
    <t>1488</t>
  </si>
  <si>
    <t>1489</t>
  </si>
  <si>
    <t>1501</t>
  </si>
  <si>
    <t>1502</t>
  </si>
  <si>
    <t>1503</t>
  </si>
  <si>
    <t>1504</t>
  </si>
  <si>
    <t>FACTURA COMPRA # 25</t>
  </si>
  <si>
    <t>FACTURA COMPRA # 26</t>
  </si>
  <si>
    <t>FACTURA COMPRA # 27</t>
  </si>
  <si>
    <t>FACTURA COMPRA # 28</t>
  </si>
  <si>
    <t>FACTURA COMPRA # 29</t>
  </si>
  <si>
    <t>FACTURA COMPRA # 30</t>
  </si>
  <si>
    <t>MX-SD-R</t>
  </si>
  <si>
    <t>120</t>
  </si>
  <si>
    <t>121</t>
  </si>
  <si>
    <t>122</t>
  </si>
  <si>
    <t>124</t>
  </si>
  <si>
    <t>125</t>
  </si>
  <si>
    <t>5.2.01.02.014</t>
  </si>
  <si>
    <t>ARRIENDO</t>
  </si>
  <si>
    <t>Mantenimiento edificios</t>
  </si>
  <si>
    <t>5.1.02.07.004</t>
  </si>
  <si>
    <t>VOLVER A FACTURA</t>
  </si>
  <si>
    <t>ASIENTO DIARIO</t>
  </si>
  <si>
    <t>FACTURA COMPRA # 31</t>
  </si>
  <si>
    <t>FACTURA COMPRA # 32</t>
  </si>
  <si>
    <t>FACTURA COMPRA # 33</t>
  </si>
  <si>
    <t>FACTURA COMPRA # 34</t>
  </si>
  <si>
    <t>FACTURA COMPRA # 35</t>
  </si>
  <si>
    <t>FACTURA COMPRA # 36</t>
  </si>
  <si>
    <t>MX-SD-SR</t>
  </si>
  <si>
    <t>I0010</t>
  </si>
  <si>
    <t>I0011</t>
  </si>
  <si>
    <t>I0012</t>
  </si>
  <si>
    <t>I0013</t>
  </si>
  <si>
    <t>I0014</t>
  </si>
  <si>
    <t>Labrada/Verde Con Beige</t>
  </si>
  <si>
    <t>Verde Con Dorado</t>
  </si>
  <si>
    <t>Dorado Con Trenza</t>
  </si>
  <si>
    <t>Bronce</t>
  </si>
  <si>
    <t>Plateada Llana</t>
  </si>
  <si>
    <t>NO</t>
  </si>
  <si>
    <t>PEGANOL</t>
  </si>
  <si>
    <t>ESCARCHA</t>
  </si>
  <si>
    <t>CARTULINA</t>
  </si>
  <si>
    <t>UTILES Y PAPELERIA</t>
  </si>
  <si>
    <t>MXI-MX-CDPP-R</t>
  </si>
  <si>
    <t>FACTURA COMPRA # 37</t>
  </si>
  <si>
    <t>DESCUENTO EN % POR PRODUCTOS</t>
  </si>
  <si>
    <t>DIGITAR EL % MANUAL X PRODUCTO</t>
  </si>
  <si>
    <t>FACTURA COMPRA # 38</t>
  </si>
  <si>
    <t>FACTURA COMPRA # 39</t>
  </si>
  <si>
    <t>Efecivo</t>
  </si>
  <si>
    <t>FACTURA COMPRA # 40</t>
  </si>
  <si>
    <t>DIGITAR EL $ MANUAL X PRODUCTO</t>
  </si>
  <si>
    <t>MXI-MX-CDEP-R</t>
  </si>
  <si>
    <t>DESCUENTO EN $ POR PRODUCTOS</t>
  </si>
  <si>
    <t>FACTURA COMPRA # 41</t>
  </si>
  <si>
    <t>FACTURA COMPRA # 42</t>
  </si>
  <si>
    <t>FACTURA COMPRA # 43</t>
  </si>
  <si>
    <t>FACTURA COMPRA # 44</t>
  </si>
  <si>
    <t>FACTURA COMPRA # 45</t>
  </si>
  <si>
    <t>FACTURA COMPRA # 46</t>
  </si>
  <si>
    <t>FACTURA COMPRA # 47</t>
  </si>
  <si>
    <t>FACTURA COMPRA # 48</t>
  </si>
  <si>
    <t>DESCUENTO EN % POR FACTURA</t>
  </si>
  <si>
    <t>DIGITAR EL % POR FACTURA</t>
  </si>
  <si>
    <t>DESCUENTO EN $ POR FACTURA</t>
  </si>
  <si>
    <t>DIGITAR EL $ POR FACTURA</t>
  </si>
  <si>
    <t>INGRESO</t>
  </si>
  <si>
    <t>EGRESO</t>
  </si>
  <si>
    <t>SALDOS</t>
  </si>
  <si>
    <t>VALOR</t>
  </si>
  <si>
    <t>REGRESAR A FACTURA</t>
  </si>
  <si>
    <t>KARDEX</t>
  </si>
  <si>
    <t>INGRESE MAL EL SUSTENTO</t>
  </si>
  <si>
    <t>Tarjetas de Credito</t>
  </si>
  <si>
    <t>5.2.01.10.001</t>
  </si>
  <si>
    <t>2.1.01.01.001</t>
  </si>
  <si>
    <t>DESCRIPCION</t>
  </si>
  <si>
    <t>PROVEEDOR</t>
  </si>
  <si>
    <t>DOCUMENTO #</t>
  </si>
  <si>
    <t>FECHA EMISIÓN</t>
  </si>
  <si>
    <t>SUBTOTAL</t>
  </si>
  <si>
    <t>RETENCION</t>
  </si>
  <si>
    <t>ESTADO</t>
  </si>
  <si>
    <t>CREDITO</t>
  </si>
  <si>
    <t>Estado</t>
  </si>
  <si>
    <t xml:space="preserve">Estado </t>
  </si>
  <si>
    <t>Emitido</t>
  </si>
  <si>
    <t>RESMAS DE PAPEL BOND / GASTO OFICINA FEBRERO</t>
  </si>
  <si>
    <t>CAJAS DE ESFEROS / GASTO OFICINA FEBRERO</t>
  </si>
  <si>
    <t>AGENDAS / GASTO OFICINA FEBRERO</t>
  </si>
  <si>
    <t>PORTATIL HP / LAPTOP OFICINA PRINCIPAL</t>
  </si>
  <si>
    <t>PORTATIL HP / LAPTOP OFICINA GERENCIAL</t>
  </si>
  <si>
    <t>PORTATIL HP / OFICINA SECUNDARIA</t>
  </si>
  <si>
    <t>ANUNCIO PUBLICITARIO / CAMPAÑA FEBRERO</t>
  </si>
  <si>
    <t>ANUNCIO PUBLICITARIO / LONA PUBLICITARIA</t>
  </si>
  <si>
    <t>ALMUERZOS / INVITACIÓN BAUTIZO</t>
  </si>
  <si>
    <t>ALMUERZOS / CENA</t>
  </si>
  <si>
    <t>ALMUERZOS / CENA NAVIDEÑA</t>
  </si>
  <si>
    <t>Arriendo de Local / PAGO LOCAL FEBRERO</t>
  </si>
  <si>
    <t>Arriendo de Local / ARRIENDO LOCAL</t>
  </si>
  <si>
    <t>Arriendo de Local / FEBRERO</t>
  </si>
  <si>
    <t>MANTENIMIENTO EDIFICIO / MANTENIMIENTO ENERO</t>
  </si>
  <si>
    <t>MANTENIMIENTO EDIFICIO / FEBRERO</t>
  </si>
  <si>
    <t>MANTENIMIENTO EDIFICIO / FEBRERO LOCAL CENTRO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</si>
  <si>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</si>
  <si>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</si>
  <si>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</si>
  <si>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</si>
  <si>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</si>
  <si>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</si>
  <si>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</si>
  <si>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</si>
  <si>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</si>
  <si>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</si>
  <si>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</si>
  <si>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</si>
  <si>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</si>
  <si>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</si>
  <si>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</si>
  <si>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</si>
  <si>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</si>
  <si>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Arriendo de Local / PAGO LOCAL DEL CENTRO</t>
  </si>
  <si>
    <t>MANTENIMIENTO EDIFICIO / PINTURA DE CUARTO</t>
  </si>
  <si>
    <t>MANTENIMIENTO EDIFICIO / PAGO FEBRERO</t>
  </si>
  <si>
    <t>Nro Comprobante de autorizacion de Facturas</t>
  </si>
  <si>
    <t>Facturación</t>
  </si>
  <si>
    <t>Cliente</t>
  </si>
  <si>
    <t>idCliente</t>
  </si>
  <si>
    <t>tpIdCliente</t>
  </si>
  <si>
    <t>Tipo de Comprobante</t>
  </si>
  <si>
    <t>Tipo de Emisión</t>
  </si>
  <si>
    <t>tipoEm</t>
  </si>
  <si>
    <t>LEONEL LEMA</t>
  </si>
  <si>
    <t>1720696275</t>
  </si>
  <si>
    <t>05</t>
  </si>
  <si>
    <t>Documentos autorizados utilizados en ventas excepto N/C N/D</t>
  </si>
  <si>
    <t>Factura Fisica</t>
  </si>
  <si>
    <t>f</t>
  </si>
  <si>
    <t>FACTURA VENTA # 1</t>
  </si>
  <si>
    <t>FACTURA VENTA</t>
  </si>
  <si>
    <t>RETENCION FACTURA VENTA</t>
  </si>
  <si>
    <t>FACTURA VENTA # 2</t>
  </si>
  <si>
    <t>FACTURA VENTA # 3</t>
  </si>
  <si>
    <t>FACTURA VENTA # 4</t>
  </si>
  <si>
    <t>FACTURA VENTA # 5</t>
  </si>
  <si>
    <t>FACTURA VENTA # 6</t>
  </si>
  <si>
    <t>FACTURA VENTA # 7</t>
  </si>
  <si>
    <t>FACTURA VENTA # 8</t>
  </si>
  <si>
    <t>FACTURA VENTA # 9</t>
  </si>
  <si>
    <t>FACTURA VENTA # 10</t>
  </si>
  <si>
    <t>FACTURA VENTA # 11</t>
  </si>
  <si>
    <t>FACTURA VENTA # 12</t>
  </si>
  <si>
    <t>FACTURA VENTA # 13</t>
  </si>
  <si>
    <t>CT-VENTAS43487</t>
  </si>
  <si>
    <t>CT-VENTAS43488</t>
  </si>
  <si>
    <t>CT-VENTAS43489</t>
  </si>
  <si>
    <t>FACTURA VENTA # 14</t>
  </si>
  <si>
    <t>FACTURA VENTA # 15</t>
  </si>
  <si>
    <t>FACTURA VENTA # 16</t>
  </si>
  <si>
    <t>FACTURA VENTA # 17</t>
  </si>
  <si>
    <t>FACTURA VENTA # 18</t>
  </si>
  <si>
    <t>FACTURA VENTA # 19</t>
  </si>
  <si>
    <t>CT-VENTAS43486</t>
  </si>
  <si>
    <t>FACTURA VENTA # 20</t>
  </si>
  <si>
    <t>FACTURA VENTA # 21</t>
  </si>
  <si>
    <t>FACTURA VENTA # 22</t>
  </si>
  <si>
    <t>CT-VENTAS13417</t>
  </si>
  <si>
    <t>FACTURA VENTA # 23</t>
  </si>
  <si>
    <t>FACTURA VENTA # 24</t>
  </si>
  <si>
    <t>FACTURA VENTA # 25</t>
  </si>
  <si>
    <t>CT-VENTAS49127</t>
  </si>
  <si>
    <t>FACTURA VENTA # 26</t>
  </si>
  <si>
    <t>FACTURA VENTA # 27</t>
  </si>
  <si>
    <t>FACTURA VENTA # 28</t>
  </si>
  <si>
    <t>CT-VENTAS45439</t>
  </si>
  <si>
    <t>FACTURA VENTA # 29</t>
  </si>
  <si>
    <t>FACTURA VENTA # 30</t>
  </si>
  <si>
    <t>FACTURA VENTA # 31</t>
  </si>
  <si>
    <t>FACTURA VENTA # 32</t>
  </si>
  <si>
    <t>FACTURA VENTA # 33</t>
  </si>
  <si>
    <t>FACTURA VENTA # 34</t>
  </si>
  <si>
    <t>FACTURA VENTA # 35</t>
  </si>
  <si>
    <t>FACTURA VENTA # 36</t>
  </si>
  <si>
    <t>FACTURA VENTA # 37</t>
  </si>
  <si>
    <t>FACTURA VENTA # 38</t>
  </si>
  <si>
    <t>FACTURA VENTA # 39</t>
  </si>
  <si>
    <t>FACTURA VENTA # 40</t>
  </si>
  <si>
    <t>CT-VENTAS52464</t>
  </si>
  <si>
    <t>CT-VENTAS4105</t>
  </si>
  <si>
    <t>CT-VENTAS49110</t>
  </si>
  <si>
    <t>FACTURA VENTA # 41</t>
  </si>
  <si>
    <t>FACTURA VENTA # 42</t>
  </si>
  <si>
    <t>FACTURA VENTA # 43</t>
  </si>
  <si>
    <t>FACTURA VENTA # 44</t>
  </si>
  <si>
    <t>FACTURA VENTA # 45</t>
  </si>
  <si>
    <t>FACTURA VENTA # 46</t>
  </si>
  <si>
    <t>FACTURA VENTA # 47</t>
  </si>
  <si>
    <t>FACTURA VENTA # 48</t>
  </si>
  <si>
    <t>GESTION DE COBROS</t>
  </si>
  <si>
    <t>Clientes</t>
  </si>
  <si>
    <t>KARDEX P</t>
  </si>
  <si>
    <t>KARDEX T</t>
  </si>
  <si>
    <t>Autorizacion</t>
  </si>
  <si>
    <t>Retención en la fuente 1%</t>
  </si>
  <si>
    <t>Retención IVA 100%</t>
  </si>
  <si>
    <t>meti mal la retencion compra</t>
  </si>
  <si>
    <t>era retencion fuente</t>
  </si>
  <si>
    <t>Retencion IVA 30%</t>
  </si>
  <si>
    <t>Retención en la fuente 8%</t>
  </si>
  <si>
    <t>Retención en la fuente 2%</t>
  </si>
  <si>
    <t>Retención IVA 50%</t>
  </si>
  <si>
    <t>Retención IVA 70%</t>
  </si>
  <si>
    <t>Retención IVA 10%</t>
  </si>
  <si>
    <t>Retención IVA 20%</t>
  </si>
  <si>
    <t>Retención IVA 30%</t>
  </si>
  <si>
    <t>Ventas</t>
  </si>
  <si>
    <t>Costo de venta inventario</t>
  </si>
  <si>
    <t>aquí no cuadra el valor pendiente</t>
  </si>
  <si>
    <t>Mantenimiento Edificio</t>
  </si>
  <si>
    <t>230120190117900412200012002902002207951790041218</t>
  </si>
  <si>
    <t>902</t>
  </si>
  <si>
    <t>000220795</t>
  </si>
  <si>
    <t>Resistencia duchas 5 12v / gasto febrero mantenimiento</t>
  </si>
  <si>
    <t>Identificador Circular / gasto febrero mantenimiento</t>
  </si>
  <si>
    <t>Aro p 1-1/2  / gasto febrero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</si>
</sst>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$&quot;* #,##0.00_ ;_ &quot;$&quot;* \-#,##0.00_ ;_ &quot;$&quot;* &quot;-&quot;??_ ;_ @_ "/>
    <numFmt numFmtId="164" formatCode="_ &quot;$&quot;* #,##0.0000_ ;_ &quot;$&quot;* \-#,##0.0000_ ;_ &quot;$&quot;* &quot;-&quot;??_ ;_ @_ "/>
    <numFmt numFmtId="165" formatCode="0.0000"/>
    <numFmt numFmtId="166" formatCode="_ &quot;$&quot;* #,##0.0000_ ;_ &quot;$&quot;* \-#,##0.0000_ ;_ &quot;$&quot;* &quot;-&quot;????_ ;_ @_ "/>
    <numFmt numFmtId="167" formatCode="_ &quot;$&quot;* #,##0.000000_ ;_ &quot;$&quot;* \-#,##0.000000_ ;_ &quot;$&quot;* &quot;-&quot;????_ ;_ @_ "/>
    <numFmt numFmtId="168" formatCode="0.000%"/>
    <numFmt numFmtId="169" formatCode="0.00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rgb="FFC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0.89999084444715716"/>
      </left>
      <right style="thin">
        <color theme="2" tint="-0.89999084444715716"/>
      </right>
      <top style="thin">
        <color theme="2" tint="-0.89999084444715716"/>
      </top>
      <bottom style="thin">
        <color theme="2" tint="-0.89999084444715716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5">
    <xf numFmtId="0" fontId="0" fillId="0" borderId="0" xfId="0"/>
    <xf numFmtId="0" fontId="4" fillId="0" borderId="0" xfId="0" applyFont="1"/>
    <xf numFmtId="0" fontId="2" fillId="2" borderId="3" xfId="0" applyFont="1" applyFill="1" applyBorder="1"/>
    <xf numFmtId="0" fontId="0" fillId="0" borderId="3" xfId="0" applyBorder="1" applyAlignment="1">
      <alignment horizontal="right"/>
    </xf>
    <xf numFmtId="0" fontId="3" fillId="3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horizontal="center"/>
    </xf>
    <xf numFmtId="44" fontId="0" fillId="0" borderId="3" xfId="3" applyFont="1" applyBorder="1" applyAlignment="1">
      <alignment horizontal="center"/>
    </xf>
    <xf numFmtId="44" fontId="0" fillId="0" borderId="3" xfId="0" applyNumberFormat="1" applyBorder="1"/>
    <xf numFmtId="49" fontId="0" fillId="0" borderId="3" xfId="0" applyNumberFormat="1" applyBorder="1" applyAlignment="1">
      <alignment horizontal="right" wrapText="1"/>
    </xf>
    <xf numFmtId="0" fontId="0" fillId="0" borderId="4" xfId="0" applyBorder="1" applyAlignment="1">
      <alignment horizontal="center"/>
    </xf>
    <xf numFmtId="14" fontId="0" fillId="0" borderId="3" xfId="0" applyNumberFormat="1" applyBorder="1"/>
    <xf numFmtId="49" fontId="0" fillId="0" borderId="3" xfId="0" applyNumberFormat="1" applyBorder="1" applyAlignment="1">
      <alignment horizontal="right"/>
    </xf>
    <xf numFmtId="0" fontId="2" fillId="4" borderId="6" xfId="0" applyFont="1" applyFill="1" applyBorder="1" applyAlignment="1">
      <alignment horizontal="left"/>
    </xf>
    <xf numFmtId="44" fontId="3" fillId="4" borderId="6" xfId="1" applyFont="1" applyFill="1" applyBorder="1" applyAlignment="1">
      <alignment horizontal="center"/>
    </xf>
    <xf numFmtId="49" fontId="0" fillId="0" borderId="0" xfId="0" applyNumberFormat="1" applyBorder="1" applyAlignment="1">
      <alignment horizontal="right"/>
    </xf>
    <xf numFmtId="0" fontId="3" fillId="3" borderId="5" xfId="0" applyFont="1" applyFill="1" applyBorder="1" applyAlignment="1">
      <alignment horizontal="center"/>
    </xf>
    <xf numFmtId="164" fontId="0" fillId="0" borderId="3" xfId="3" applyNumberFormat="1" applyFont="1" applyBorder="1"/>
    <xf numFmtId="14" fontId="0" fillId="0" borderId="3" xfId="0" applyNumberFormat="1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2" applyFont="1" applyBorder="1" applyAlignment="1">
      <alignment horizontal="center"/>
    </xf>
    <xf numFmtId="164" fontId="0" fillId="0" borderId="0" xfId="3" applyNumberFormat="1" applyFont="1" applyBorder="1"/>
    <xf numFmtId="164" fontId="0" fillId="0" borderId="0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right"/>
    </xf>
    <xf numFmtId="0" fontId="5" fillId="0" borderId="0" xfId="4" applyBorder="1" applyAlignment="1">
      <alignment horizontal="center"/>
    </xf>
    <xf numFmtId="165" fontId="0" fillId="0" borderId="3" xfId="0" applyNumberFormat="1" applyBorder="1"/>
    <xf numFmtId="0" fontId="0" fillId="0" borderId="0" xfId="0" applyAlignment="1">
      <alignment horizontal="right" wrapText="1"/>
    </xf>
    <xf numFmtId="0" fontId="5" fillId="0" borderId="0" xfId="4"/>
    <xf numFmtId="0" fontId="0" fillId="0" borderId="4" xfId="0" applyBorder="1"/>
    <xf numFmtId="49" fontId="0" fillId="0" borderId="0" xfId="0" applyNumberFormat="1" applyAlignment="1">
      <alignment horizontal="right"/>
    </xf>
    <xf numFmtId="0" fontId="6" fillId="0" borderId="0" xfId="0" applyFont="1" applyAlignment="1"/>
    <xf numFmtId="0" fontId="0" fillId="0" borderId="3" xfId="0" applyBorder="1" applyAlignment="1">
      <alignment horizontal="left"/>
    </xf>
    <xf numFmtId="44" fontId="0" fillId="0" borderId="0" xfId="1" applyFont="1" applyBorder="1" applyAlignment="1">
      <alignment horizontal="right"/>
    </xf>
    <xf numFmtId="0" fontId="0" fillId="0" borderId="8" xfId="0" applyBorder="1"/>
    <xf numFmtId="14" fontId="0" fillId="0" borderId="8" xfId="0" applyNumberFormat="1" applyBorder="1"/>
    <xf numFmtId="0" fontId="2" fillId="4" borderId="9" xfId="0" applyFont="1" applyFill="1" applyBorder="1" applyAlignment="1">
      <alignment horizontal="left"/>
    </xf>
    <xf numFmtId="44" fontId="2" fillId="4" borderId="9" xfId="1" applyFont="1" applyFill="1" applyBorder="1" applyAlignment="1">
      <alignment horizontal="center"/>
    </xf>
    <xf numFmtId="44" fontId="0" fillId="0" borderId="0" xfId="3" applyFont="1" applyBorder="1" applyAlignment="1">
      <alignment horizontal="center"/>
    </xf>
    <xf numFmtId="44" fontId="0" fillId="0" borderId="0" xfId="0" applyNumberFormat="1" applyBorder="1"/>
    <xf numFmtId="9" fontId="0" fillId="0" borderId="3" xfId="0" applyNumberForma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164" fontId="2" fillId="4" borderId="9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0" fillId="0" borderId="3" xfId="3" applyNumberFormat="1" applyFont="1" applyBorder="1" applyAlignment="1">
      <alignment horizontal="center"/>
    </xf>
    <xf numFmtId="164" fontId="0" fillId="0" borderId="3" xfId="2" applyNumberFormat="1" applyFont="1" applyBorder="1"/>
    <xf numFmtId="164" fontId="0" fillId="0" borderId="3" xfId="1" applyNumberFormat="1" applyFont="1" applyBorder="1"/>
    <xf numFmtId="167" fontId="0" fillId="0" borderId="3" xfId="3" applyNumberFormat="1" applyFont="1" applyBorder="1"/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5" borderId="0" xfId="0" applyFill="1"/>
    <xf numFmtId="164" fontId="0" fillId="5" borderId="0" xfId="1" applyNumberFormat="1" applyFont="1" applyFill="1"/>
    <xf numFmtId="0" fontId="0" fillId="6" borderId="0" xfId="0" applyFill="1" applyBorder="1" applyAlignment="1">
      <alignment vertical="center"/>
    </xf>
    <xf numFmtId="164" fontId="0" fillId="6" borderId="0" xfId="1" applyNumberFormat="1" applyFont="1" applyFill="1" applyBorder="1" applyAlignment="1">
      <alignment vertical="center"/>
    </xf>
    <xf numFmtId="0" fontId="0" fillId="7" borderId="0" xfId="0" applyFill="1" applyBorder="1"/>
    <xf numFmtId="164" fontId="0" fillId="7" borderId="0" xfId="0" applyNumberFormat="1" applyFill="1" applyBorder="1"/>
    <xf numFmtId="0" fontId="0" fillId="6" borderId="15" xfId="0" applyFill="1" applyBorder="1" applyAlignment="1">
      <alignment vertical="center"/>
    </xf>
    <xf numFmtId="164" fontId="0" fillId="6" borderId="15" xfId="1" applyNumberFormat="1" applyFont="1" applyFill="1" applyBorder="1" applyAlignment="1">
      <alignment vertical="center"/>
    </xf>
    <xf numFmtId="0" fontId="0" fillId="7" borderId="20" xfId="0" applyFill="1" applyBorder="1"/>
    <xf numFmtId="164" fontId="0" fillId="7" borderId="20" xfId="0" applyNumberFormat="1" applyFill="1" applyBorder="1"/>
    <xf numFmtId="0" fontId="0" fillId="6" borderId="20" xfId="0" applyFill="1" applyBorder="1" applyAlignment="1">
      <alignment vertical="center"/>
    </xf>
    <xf numFmtId="164" fontId="0" fillId="6" borderId="20" xfId="1" applyNumberFormat="1" applyFont="1" applyFill="1" applyBorder="1" applyAlignment="1">
      <alignment vertical="center"/>
    </xf>
    <xf numFmtId="14" fontId="0" fillId="7" borderId="20" xfId="0" applyNumberFormat="1" applyFill="1" applyBorder="1"/>
    <xf numFmtId="14" fontId="0" fillId="7" borderId="0" xfId="0" applyNumberFormat="1" applyFill="1" applyBorder="1"/>
    <xf numFmtId="0" fontId="0" fillId="8" borderId="0" xfId="0" applyFill="1"/>
    <xf numFmtId="9" fontId="0" fillId="0" borderId="0" xfId="0" applyNumberFormat="1"/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66" fontId="0" fillId="0" borderId="0" xfId="0" applyNumberForma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3" xfId="0" applyFill="1" applyBorder="1" applyAlignment="1">
      <alignment horizontal="center"/>
    </xf>
    <xf numFmtId="168" fontId="0" fillId="9" borderId="3" xfId="2" applyNumberFormat="1" applyFont="1" applyFill="1" applyBorder="1" applyAlignment="1">
      <alignment horizontal="right"/>
    </xf>
    <xf numFmtId="9" fontId="0" fillId="9" borderId="3" xfId="2" applyFont="1" applyFill="1" applyBorder="1" applyAlignment="1">
      <alignment horizontal="right"/>
    </xf>
    <xf numFmtId="44" fontId="0" fillId="0" borderId="3" xfId="1" applyFont="1" applyBorder="1" applyAlignment="1">
      <alignment horizontal="center"/>
    </xf>
    <xf numFmtId="44" fontId="0" fillId="0" borderId="3" xfId="1" applyFont="1" applyBorder="1"/>
    <xf numFmtId="165" fontId="0" fillId="0" borderId="3" xfId="2" applyNumberFormat="1" applyFont="1" applyBorder="1"/>
    <xf numFmtId="164" fontId="0" fillId="9" borderId="3" xfId="1" applyNumberFormat="1" applyFont="1" applyFill="1" applyBorder="1"/>
    <xf numFmtId="164" fontId="0" fillId="9" borderId="3" xfId="1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164" fontId="0" fillId="0" borderId="3" xfId="1" applyNumberFormat="1" applyFont="1" applyBorder="1" applyAlignment="1">
      <alignment horizontal="right"/>
    </xf>
    <xf numFmtId="44" fontId="0" fillId="0" borderId="0" xfId="0" applyNumberFormat="1"/>
    <xf numFmtId="44" fontId="0" fillId="0" borderId="0" xfId="1" applyFont="1"/>
    <xf numFmtId="164" fontId="0" fillId="0" borderId="0" xfId="0" applyNumberForma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65" fontId="0" fillId="0" borderId="0" xfId="0" applyNumberFormat="1"/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0" fillId="13" borderId="24" xfId="0" applyFont="1" applyFill="1" applyBorder="1"/>
    <xf numFmtId="164" fontId="0" fillId="13" borderId="24" xfId="1" applyNumberFormat="1" applyFont="1" applyFill="1" applyBorder="1"/>
    <xf numFmtId="0" fontId="0" fillId="14" borderId="24" xfId="0" applyFont="1" applyFill="1" applyBorder="1"/>
    <xf numFmtId="164" fontId="0" fillId="14" borderId="24" xfId="1" applyNumberFormat="1" applyFont="1" applyFill="1" applyBorder="1"/>
    <xf numFmtId="0" fontId="5" fillId="0" borderId="0" xfId="4" applyAlignment="1">
      <alignment horizontal="center"/>
    </xf>
    <xf numFmtId="0" fontId="5" fillId="0" borderId="0" xfId="4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8" xfId="2" applyFont="1" applyBorder="1" applyAlignment="1">
      <alignment horizontal="center"/>
    </xf>
    <xf numFmtId="9" fontId="0" fillId="0" borderId="4" xfId="2" applyFont="1" applyBorder="1" applyAlignment="1">
      <alignment horizont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6" fontId="0" fillId="0" borderId="10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2" xfId="0" applyBorder="1" applyAlignment="1">
      <alignment vertical="center"/>
    </xf>
    <xf numFmtId="44" fontId="0" fillId="9" borderId="0" xfId="3" applyFont="1" applyFill="1" applyBorder="1" applyAlignment="1">
      <alignment horizontal="center" vertical="center" wrapText="1"/>
    </xf>
    <xf numFmtId="167" fontId="0" fillId="0" borderId="5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7" fontId="0" fillId="0" borderId="10" xfId="0" applyNumberFormat="1" applyBorder="1" applyAlignment="1">
      <alignment vertical="center"/>
    </xf>
    <xf numFmtId="167" fontId="0" fillId="0" borderId="11" xfId="0" applyNumberFormat="1" applyBorder="1" applyAlignment="1">
      <alignment vertical="center"/>
    </xf>
    <xf numFmtId="167" fontId="0" fillId="0" borderId="1" xfId="0" applyNumberFormat="1" applyBorder="1" applyAlignment="1">
      <alignment vertical="center"/>
    </xf>
    <xf numFmtId="167" fontId="0" fillId="0" borderId="12" xfId="0" applyNumberForma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169" fontId="0" fillId="9" borderId="0" xfId="0" applyNumberFormat="1" applyFill="1" applyAlignment="1">
      <alignment horizontal="center" vertical="center" wrapText="1"/>
    </xf>
    <xf numFmtId="164" fontId="0" fillId="9" borderId="0" xfId="1" applyNumberFormat="1" applyFont="1" applyFill="1" applyAlignment="1">
      <alignment horizontal="center" vertical="center" wrapText="1"/>
    </xf>
    <xf numFmtId="0" fontId="0" fillId="6" borderId="14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14" fontId="0" fillId="6" borderId="15" xfId="0" applyNumberFormat="1" applyFill="1" applyBorder="1" applyAlignment="1">
      <alignment horizontal="center" vertical="center"/>
    </xf>
    <xf numFmtId="14" fontId="0" fillId="6" borderId="0" xfId="0" applyNumberForma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44" fontId="0" fillId="6" borderId="15" xfId="0" applyNumberFormat="1" applyFill="1" applyBorder="1" applyAlignment="1">
      <alignment horizontal="center" vertical="center"/>
    </xf>
    <xf numFmtId="44" fontId="0" fillId="6" borderId="0" xfId="0" applyNumberFormat="1" applyFill="1" applyBorder="1" applyAlignment="1">
      <alignment horizontal="center" vertical="center"/>
    </xf>
    <xf numFmtId="44" fontId="0" fillId="6" borderId="16" xfId="0" applyNumberFormat="1" applyFill="1" applyBorder="1" applyAlignment="1">
      <alignment horizontal="center" vertical="center"/>
    </xf>
    <xf numFmtId="44" fontId="0" fillId="6" borderId="18" xfId="0" applyNumberFormat="1" applyFill="1" applyBorder="1" applyAlignment="1">
      <alignment horizontal="center" vertical="center"/>
    </xf>
    <xf numFmtId="0" fontId="5" fillId="0" borderId="17" xfId="4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14" fontId="0" fillId="7" borderId="0" xfId="0" applyNumberFormat="1" applyFill="1" applyBorder="1" applyAlignment="1">
      <alignment horizontal="center" vertical="center"/>
    </xf>
    <xf numFmtId="14" fontId="0" fillId="7" borderId="20" xfId="0" applyNumberFormat="1" applyFill="1" applyBorder="1" applyAlignment="1">
      <alignment horizontal="center" vertical="center"/>
    </xf>
    <xf numFmtId="14" fontId="0" fillId="7" borderId="0" xfId="0" applyNumberFormat="1" applyFill="1" applyBorder="1" applyAlignment="1">
      <alignment horizontal="center" vertical="center" wrapText="1"/>
    </xf>
    <xf numFmtId="14" fontId="0" fillId="7" borderId="20" xfId="0" applyNumberFormat="1" applyFill="1" applyBorder="1" applyAlignment="1">
      <alignment horizontal="center" vertical="center" wrapText="1"/>
    </xf>
    <xf numFmtId="44" fontId="0" fillId="7" borderId="0" xfId="1" applyNumberFormat="1" applyFont="1" applyFill="1" applyBorder="1" applyAlignment="1">
      <alignment horizontal="center" vertical="center"/>
    </xf>
    <xf numFmtId="44" fontId="0" fillId="7" borderId="20" xfId="1" applyNumberFormat="1" applyFont="1" applyFill="1" applyBorder="1" applyAlignment="1">
      <alignment horizontal="center" vertical="center"/>
    </xf>
    <xf numFmtId="44" fontId="0" fillId="7" borderId="18" xfId="1" applyNumberFormat="1" applyFont="1" applyFill="1" applyBorder="1" applyAlignment="1">
      <alignment horizontal="center" vertical="center"/>
    </xf>
    <xf numFmtId="44" fontId="0" fillId="7" borderId="21" xfId="1" applyNumberFormat="1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44" fontId="0" fillId="6" borderId="20" xfId="0" applyNumberFormat="1" applyFill="1" applyBorder="1" applyAlignment="1">
      <alignment horizontal="center" vertical="center"/>
    </xf>
    <xf numFmtId="44" fontId="0" fillId="6" borderId="2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14" fontId="0" fillId="5" borderId="0" xfId="0" applyNumberForma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44" fontId="0" fillId="5" borderId="13" xfId="0" applyNumberFormat="1" applyFill="1" applyBorder="1" applyAlignment="1">
      <alignment horizontal="center" vertical="center"/>
    </xf>
    <xf numFmtId="44" fontId="0" fillId="5" borderId="0" xfId="0" applyNumberFormat="1" applyFill="1" applyAlignment="1">
      <alignment horizontal="center" vertical="center"/>
    </xf>
    <xf numFmtId="14" fontId="0" fillId="13" borderId="23" xfId="0" applyNumberFormat="1" applyFont="1" applyFill="1" applyBorder="1" applyAlignment="1">
      <alignment horizontal="center" vertical="center" wrapText="1"/>
    </xf>
    <xf numFmtId="14" fontId="0" fillId="13" borderId="26" xfId="0" applyNumberFormat="1" applyFont="1" applyFill="1" applyBorder="1" applyAlignment="1">
      <alignment horizontal="center" vertical="center" wrapText="1"/>
    </xf>
    <xf numFmtId="0" fontId="0" fillId="13" borderId="23" xfId="0" applyFont="1" applyFill="1" applyBorder="1" applyAlignment="1">
      <alignment horizontal="center" vertical="center" wrapText="1"/>
    </xf>
    <xf numFmtId="0" fontId="0" fillId="13" borderId="26" xfId="0" applyFont="1" applyFill="1" applyBorder="1" applyAlignment="1">
      <alignment horizontal="center" vertical="center" wrapText="1"/>
    </xf>
    <xf numFmtId="0" fontId="5" fillId="0" borderId="25" xfId="4" applyBorder="1" applyAlignment="1">
      <alignment horizontal="center" vertical="center" wrapText="1"/>
    </xf>
    <xf numFmtId="14" fontId="0" fillId="14" borderId="23" xfId="0" applyNumberFormat="1" applyFont="1" applyFill="1" applyBorder="1" applyAlignment="1">
      <alignment horizontal="center" vertical="center" wrapText="1"/>
    </xf>
    <xf numFmtId="14" fontId="0" fillId="14" borderId="26" xfId="0" applyNumberFormat="1" applyFont="1" applyFill="1" applyBorder="1" applyAlignment="1">
      <alignment horizontal="center" vertical="center" wrapText="1"/>
    </xf>
    <xf numFmtId="0" fontId="0" fillId="14" borderId="23" xfId="0" applyFont="1" applyFill="1" applyBorder="1" applyAlignment="1">
      <alignment horizontal="center" vertical="center" wrapText="1"/>
    </xf>
    <xf numFmtId="0" fontId="0" fillId="14" borderId="2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15" borderId="0" xfId="0" applyFill="1" applyAlignment="1">
      <alignment horizontal="left" vertical="center"/>
    </xf>
    <xf numFmtId="44" fontId="0" fillId="15" borderId="0" xfId="0" applyNumberFormat="1" applyFill="1" applyAlignment="1">
      <alignment horizontal="right" vertical="center"/>
    </xf>
    <xf numFmtId="0" fontId="5" fillId="15" borderId="0" xfId="4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14" fontId="0" fillId="15" borderId="0" xfId="0" applyNumberForma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5" borderId="0" xfId="0" applyFill="1" applyAlignment="1">
      <alignment horizontal="right" vertical="center"/>
    </xf>
    <xf numFmtId="0" fontId="0" fillId="16" borderId="0" xfId="0" applyFill="1" applyAlignment="1">
      <alignment horizontal="left" vertical="center"/>
    </xf>
    <xf numFmtId="44" fontId="0" fillId="16" borderId="0" xfId="0" applyNumberFormat="1" applyFill="1" applyAlignment="1">
      <alignment horizontal="right" vertical="center"/>
    </xf>
    <xf numFmtId="0" fontId="5" fillId="16" borderId="0" xfId="4" applyFill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14" fontId="0" fillId="16" borderId="0" xfId="0" applyNumberFormat="1" applyFill="1" applyAlignment="1">
      <alignment horizontal="center" vertical="center"/>
    </xf>
    <xf numFmtId="44" fontId="0" fillId="16" borderId="0" xfId="0" applyNumberForma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horizontal="right" vertical="center"/>
    </xf>
    <xf numFmtId="44" fontId="0" fillId="15" borderId="0" xfId="0" applyNumberFormat="1" applyFill="1" applyAlignment="1">
      <alignment horizontal="center" vertical="center"/>
    </xf>
    <xf numFmtId="2" fontId="0" fillId="15" borderId="0" xfId="0" applyNumberFormat="1" applyFill="1" applyAlignment="1">
      <alignment horizontal="center" vertical="center"/>
    </xf>
    <xf numFmtId="2" fontId="0" fillId="16" borderId="0" xfId="0" applyNumberFormat="1" applyFill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164" fontId="0" fillId="17" borderId="0" xfId="1" applyNumberFormat="1" applyFont="1" applyFill="1" applyBorder="1" applyAlignment="1">
      <alignment vertical="center"/>
    </xf>
    <xf numFmtId="0" fontId="0" fillId="17" borderId="17" xfId="0" applyFill="1" applyBorder="1" applyAlignment="1">
      <alignment horizontal="center" vertical="center"/>
    </xf>
    <xf numFmtId="0" fontId="0" fillId="17" borderId="19" xfId="0" applyFill="1" applyBorder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0" fontId="0" fillId="17" borderId="20" xfId="0" applyFill="1" applyBorder="1" applyAlignment="1">
      <alignment horizontal="center" vertical="center"/>
    </xf>
    <xf numFmtId="44" fontId="0" fillId="17" borderId="0" xfId="0" applyNumberFormat="1" applyFill="1" applyBorder="1" applyAlignment="1">
      <alignment horizontal="center" vertical="center"/>
    </xf>
    <xf numFmtId="44" fontId="0" fillId="17" borderId="20" xfId="0" applyNumberFormat="1" applyFill="1" applyBorder="1" applyAlignment="1">
      <alignment horizontal="center" vertical="center"/>
    </xf>
    <xf numFmtId="44" fontId="0" fillId="17" borderId="18" xfId="0" applyNumberFormat="1" applyFill="1" applyBorder="1" applyAlignment="1">
      <alignment horizontal="center" vertical="center"/>
    </xf>
    <xf numFmtId="44" fontId="0" fillId="17" borderId="21" xfId="0" applyNumberForma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/>
    <xf numFmtId="0" fontId="0" fillId="0" borderId="28" xfId="0" applyBorder="1"/>
    <xf numFmtId="14" fontId="0" fillId="17" borderId="0" xfId="0" applyNumberFormat="1" applyFill="1" applyBorder="1" applyAlignment="1">
      <alignment horizontal="center" vertical="center"/>
    </xf>
    <xf numFmtId="0" fontId="0" fillId="6" borderId="20" xfId="0" applyFill="1" applyBorder="1"/>
    <xf numFmtId="14" fontId="0" fillId="17" borderId="0" xfId="0" applyNumberFormat="1" applyFont="1" applyFill="1" applyBorder="1"/>
    <xf numFmtId="164" fontId="0" fillId="6" borderId="20" xfId="1" applyNumberFormat="1" applyFont="1" applyFill="1" applyBorder="1"/>
    <xf numFmtId="14" fontId="0" fillId="6" borderId="15" xfId="0" applyNumberFormat="1" applyFill="1" applyBorder="1" applyAlignment="1">
      <alignment vertical="center"/>
    </xf>
  </cellXfs>
  <cellStyles count="5">
    <cellStyle name="Hipervínculo" xfId="4" builtinId="8"/>
    <cellStyle name="Moneda" xfId="1" builtinId="4"/>
    <cellStyle name="Moneda 2" xfId="3" xr:uid="{880A5F9F-06E8-4BE8-B7C7-A19863688DA7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JERCICIO%20FINAL%20A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EMPRESA"/>
      <sheetName val="ESI"/>
      <sheetName val="COMPRAS"/>
      <sheetName val="FORMAT IMPRESION COMPRA"/>
      <sheetName val="FORMAT IMPRESION COMPRA + RET"/>
      <sheetName val="VENTAS"/>
      <sheetName val="FORMAT IMPRESION VENTA"/>
      <sheetName val="FORMAT IMPRESION VENTA + RET"/>
      <sheetName val="LIBRO DIARIO"/>
      <sheetName val="KARDEX"/>
      <sheetName val="XML"/>
      <sheetName val="ATS"/>
      <sheetName val="MAYORES"/>
      <sheetName val="TIPO IDENTIFICACION"/>
    </sheetNames>
    <sheetDataSet>
      <sheetData sheetId="0"/>
      <sheetData sheetId="1"/>
      <sheetData sheetId="2">
        <row r="6">
          <cell r="B6" t="str">
            <v>FACTURA COMPRA # 1</v>
          </cell>
        </row>
        <row r="16">
          <cell r="B16">
            <v>43497</v>
          </cell>
        </row>
        <row r="153">
          <cell r="B153">
            <v>43504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B9CD8-0A61-4DA2-9633-7CA092F921C1}">
  <dimension ref="A1:D37"/>
  <sheetViews>
    <sheetView workbookViewId="0">
      <selection activeCell="D21" sqref="D21:D23"/>
    </sheetView>
  </sheetViews>
  <sheetFormatPr baseColWidth="10" defaultRowHeight="15" x14ac:dyDescent="0.25"/>
  <cols>
    <col min="1" max="1" width="17.85546875" bestFit="1" customWidth="1"/>
    <col min="2" max="2" width="44.5703125" bestFit="1" customWidth="1"/>
    <col min="4" max="4" width="18.140625" bestFit="1" customWidth="1"/>
  </cols>
  <sheetData>
    <row r="1" spans="1:3" x14ac:dyDescent="0.25">
      <c r="A1" s="111" t="s">
        <v>113</v>
      </c>
      <c r="B1" s="111"/>
      <c r="C1" t="s">
        <v>14</v>
      </c>
    </row>
    <row r="2" spans="1:3" x14ac:dyDescent="0.25">
      <c r="A2" t="s">
        <v>103</v>
      </c>
      <c r="B2" t="s">
        <v>104</v>
      </c>
      <c r="C2" t="s">
        <v>139</v>
      </c>
    </row>
    <row r="3" spans="1:3" x14ac:dyDescent="0.25">
      <c r="A3" t="s">
        <v>105</v>
      </c>
      <c r="B3" t="s">
        <v>106</v>
      </c>
      <c r="C3" t="s">
        <v>139</v>
      </c>
    </row>
    <row r="4" spans="1:3" x14ac:dyDescent="0.25">
      <c r="A4" t="s">
        <v>107</v>
      </c>
      <c r="B4" t="s">
        <v>108</v>
      </c>
      <c r="C4" t="s">
        <v>139</v>
      </c>
    </row>
    <row r="5" spans="1:3" x14ac:dyDescent="0.25">
      <c r="A5" t="s">
        <v>109</v>
      </c>
      <c r="B5" t="s">
        <v>110</v>
      </c>
      <c r="C5" t="s">
        <v>139</v>
      </c>
    </row>
    <row r="6" spans="1:3" x14ac:dyDescent="0.25">
      <c r="A6" t="s">
        <v>111</v>
      </c>
      <c r="B6" t="s">
        <v>112</v>
      </c>
      <c r="C6" t="s">
        <v>139</v>
      </c>
    </row>
    <row r="7" spans="1:3" x14ac:dyDescent="0.25">
      <c r="A7" t="s">
        <v>95</v>
      </c>
      <c r="B7" t="s">
        <v>99</v>
      </c>
      <c r="C7" t="s">
        <v>139</v>
      </c>
    </row>
    <row r="8" spans="1:3" x14ac:dyDescent="0.25">
      <c r="A8" t="s">
        <v>96</v>
      </c>
      <c r="B8" t="s">
        <v>100</v>
      </c>
      <c r="C8" t="s">
        <v>139</v>
      </c>
    </row>
    <row r="9" spans="1:3" x14ac:dyDescent="0.25">
      <c r="A9" t="s">
        <v>97</v>
      </c>
      <c r="B9" t="s">
        <v>101</v>
      </c>
      <c r="C9" t="s">
        <v>139</v>
      </c>
    </row>
    <row r="10" spans="1:3" x14ac:dyDescent="0.25">
      <c r="A10" t="s">
        <v>98</v>
      </c>
      <c r="B10" t="s">
        <v>102</v>
      </c>
      <c r="C10" t="s">
        <v>139</v>
      </c>
    </row>
    <row r="11" spans="1:3" x14ac:dyDescent="0.25">
      <c r="A11" t="s">
        <v>287</v>
      </c>
      <c r="B11" t="s">
        <v>292</v>
      </c>
      <c r="C11" t="s">
        <v>297</v>
      </c>
    </row>
    <row r="12" spans="1:3" x14ac:dyDescent="0.25">
      <c r="A12" t="s">
        <v>288</v>
      </c>
      <c r="B12" t="s">
        <v>293</v>
      </c>
      <c r="C12" t="s">
        <v>297</v>
      </c>
    </row>
    <row r="13" spans="1:3" x14ac:dyDescent="0.25">
      <c r="A13" t="s">
        <v>289</v>
      </c>
      <c r="B13" t="s">
        <v>294</v>
      </c>
      <c r="C13" t="s">
        <v>297</v>
      </c>
    </row>
    <row r="14" spans="1:3" x14ac:dyDescent="0.25">
      <c r="A14" t="s">
        <v>290</v>
      </c>
      <c r="B14" t="s">
        <v>295</v>
      </c>
      <c r="C14" t="s">
        <v>297</v>
      </c>
    </row>
    <row r="15" spans="1:3" x14ac:dyDescent="0.25">
      <c r="A15" t="s">
        <v>291</v>
      </c>
      <c r="B15" t="s">
        <v>296</v>
      </c>
      <c r="C15" t="s">
        <v>297</v>
      </c>
    </row>
    <row r="18" spans="1:4" x14ac:dyDescent="0.25">
      <c r="A18" s="111" t="s">
        <v>137</v>
      </c>
      <c r="B18" s="111"/>
    </row>
    <row r="19" spans="1:4" x14ac:dyDescent="0.25">
      <c r="A19" t="s">
        <v>114</v>
      </c>
      <c r="B19" t="s">
        <v>115</v>
      </c>
      <c r="C19" t="s">
        <v>139</v>
      </c>
    </row>
    <row r="20" spans="1:4" x14ac:dyDescent="0.25">
      <c r="A20" t="s">
        <v>116</v>
      </c>
      <c r="B20" t="s">
        <v>117</v>
      </c>
      <c r="C20" t="s">
        <v>139</v>
      </c>
    </row>
    <row r="21" spans="1:4" x14ac:dyDescent="0.25">
      <c r="A21" t="s">
        <v>118</v>
      </c>
      <c r="B21" t="s">
        <v>79</v>
      </c>
      <c r="C21" t="s">
        <v>139</v>
      </c>
      <c r="D21" t="s">
        <v>301</v>
      </c>
    </row>
    <row r="22" spans="1:4" x14ac:dyDescent="0.25">
      <c r="A22" t="s">
        <v>119</v>
      </c>
      <c r="B22" t="s">
        <v>82</v>
      </c>
      <c r="C22" t="s">
        <v>139</v>
      </c>
      <c r="D22" t="s">
        <v>301</v>
      </c>
    </row>
    <row r="23" spans="1:4" x14ac:dyDescent="0.25">
      <c r="A23" t="s">
        <v>120</v>
      </c>
      <c r="B23" t="s">
        <v>83</v>
      </c>
      <c r="C23" t="s">
        <v>139</v>
      </c>
      <c r="D23" t="s">
        <v>301</v>
      </c>
    </row>
    <row r="24" spans="1:4" x14ac:dyDescent="0.25">
      <c r="A24" t="s">
        <v>121</v>
      </c>
      <c r="B24" t="s">
        <v>122</v>
      </c>
      <c r="C24" t="s">
        <v>139</v>
      </c>
    </row>
    <row r="25" spans="1:4" x14ac:dyDescent="0.25">
      <c r="A25" t="s">
        <v>123</v>
      </c>
      <c r="B25" t="s">
        <v>124</v>
      </c>
      <c r="C25" t="s">
        <v>139</v>
      </c>
    </row>
    <row r="26" spans="1:4" x14ac:dyDescent="0.25">
      <c r="A26" t="s">
        <v>125</v>
      </c>
      <c r="B26" t="s">
        <v>126</v>
      </c>
      <c r="C26" t="s">
        <v>139</v>
      </c>
    </row>
    <row r="27" spans="1:4" x14ac:dyDescent="0.25">
      <c r="A27" t="s">
        <v>127</v>
      </c>
      <c r="B27" t="s">
        <v>128</v>
      </c>
      <c r="C27" t="s">
        <v>139</v>
      </c>
    </row>
    <row r="28" spans="1:4" x14ac:dyDescent="0.25">
      <c r="B28" t="s">
        <v>298</v>
      </c>
      <c r="C28" t="s">
        <v>297</v>
      </c>
      <c r="D28" t="s">
        <v>301</v>
      </c>
    </row>
    <row r="29" spans="1:4" x14ac:dyDescent="0.25">
      <c r="B29" t="s">
        <v>299</v>
      </c>
      <c r="C29" t="s">
        <v>297</v>
      </c>
      <c r="D29" t="s">
        <v>301</v>
      </c>
    </row>
    <row r="30" spans="1:4" x14ac:dyDescent="0.25">
      <c r="B30" t="s">
        <v>300</v>
      </c>
      <c r="C30" t="s">
        <v>297</v>
      </c>
      <c r="D30" t="s">
        <v>301</v>
      </c>
    </row>
    <row r="33" spans="1:3" x14ac:dyDescent="0.25">
      <c r="A33" s="111" t="s">
        <v>138</v>
      </c>
      <c r="B33" s="111"/>
    </row>
    <row r="34" spans="1:3" x14ac:dyDescent="0.25">
      <c r="A34" t="s">
        <v>129</v>
      </c>
      <c r="B34" t="s">
        <v>130</v>
      </c>
      <c r="C34" t="s">
        <v>139</v>
      </c>
    </row>
    <row r="35" spans="1:3" x14ac:dyDescent="0.25">
      <c r="A35" t="s">
        <v>131</v>
      </c>
      <c r="B35" t="s">
        <v>132</v>
      </c>
      <c r="C35" t="s">
        <v>139</v>
      </c>
    </row>
    <row r="36" spans="1:3" x14ac:dyDescent="0.25">
      <c r="A36" t="s">
        <v>133</v>
      </c>
      <c r="B36" t="s">
        <v>134</v>
      </c>
      <c r="C36" t="s">
        <v>139</v>
      </c>
    </row>
    <row r="37" spans="1:3" x14ac:dyDescent="0.25">
      <c r="A37" t="s">
        <v>135</v>
      </c>
      <c r="B37" t="s">
        <v>136</v>
      </c>
      <c r="C37" t="s">
        <v>139</v>
      </c>
    </row>
  </sheetData>
  <mergeCells count="3">
    <mergeCell ref="A1:B1"/>
    <mergeCell ref="A18:B18"/>
    <mergeCell ref="A33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82A0-A67C-435E-B1FF-FF857E491C12}">
  <dimension ref="A3:H39"/>
  <sheetViews>
    <sheetView tabSelected="1" workbookViewId="0">
      <selection activeCell="A2" sqref="A2:H27"/>
    </sheetView>
  </sheetViews>
  <sheetFormatPr baseColWidth="10" defaultRowHeight="15" x14ac:dyDescent="0.25"/>
  <cols>
    <col min="2" max="2" width="12.85546875" bestFit="1" customWidth="1"/>
    <col min="3" max="3" width="21.7109375" customWidth="1"/>
    <col min="4" max="4" width="25.42578125" customWidth="1"/>
    <col min="5" max="5" width="14.85546875" bestFit="1" customWidth="1"/>
    <col min="6" max="6" width="10" bestFit="1" customWidth="1"/>
    <col min="7" max="7" width="11.140625" bestFit="1" customWidth="1"/>
  </cols>
  <sheetData>
    <row r="3" spans="1:8" s="98" customFormat="1" x14ac:dyDescent="0.25">
      <c r="A3" s="186" t="s">
        <v>335</v>
      </c>
      <c r="B3" s="186"/>
      <c r="C3" s="187" t="s">
        <v>337</v>
      </c>
      <c r="D3" s="187" t="s">
        <v>336</v>
      </c>
      <c r="E3" s="187" t="s">
        <v>338</v>
      </c>
      <c r="F3" s="187" t="s">
        <v>339</v>
      </c>
      <c r="G3" s="187" t="s">
        <v>340</v>
      </c>
      <c r="H3" s="187" t="s">
        <v>15</v>
      </c>
    </row>
    <row r="4" spans="1:8" x14ac:dyDescent="0.25">
      <c r="A4" s="188" t="s">
        <v>341</v>
      </c>
      <c r="B4" s="189" t="str">
        <f>+COMPRAS!C32</f>
        <v>Pendiente</v>
      </c>
      <c r="C4" s="190" t="str">
        <f>+CONCATENATE(COMPRAS!C6," ",COMPRAS!C26)</f>
        <v>FACTURA COMPRA # 1 001-001-100</v>
      </c>
      <c r="D4" s="191" t="str">
        <f>CONCATENATE(COMPRAS!C8," / ",COMPRAS!C9)</f>
        <v>VICTOR LOPEZ SANDOVAL / 1712458544001</v>
      </c>
      <c r="E4" s="192">
        <f>+COMPRAS!C27</f>
        <v>43497</v>
      </c>
      <c r="F4" s="204">
        <f>+COMPRAS!E15+COMPRAS!E16-COMPRAS!E17</f>
        <v>424.4316</v>
      </c>
      <c r="G4" s="204">
        <f>+COMPRAS!M24</f>
        <v>55.176107999999992</v>
      </c>
      <c r="H4" s="204">
        <f>+COMPRAS!N24</f>
        <v>420.18728399999992</v>
      </c>
    </row>
    <row r="5" spans="1:8" x14ac:dyDescent="0.25">
      <c r="A5" s="188" t="s">
        <v>18</v>
      </c>
      <c r="B5" s="194" t="str">
        <f>+COMPRAS!C13</f>
        <v>FACTURA</v>
      </c>
      <c r="C5" s="190"/>
      <c r="D5" s="191"/>
      <c r="E5" s="193"/>
      <c r="F5" s="204"/>
      <c r="G5" s="204"/>
      <c r="H5" s="204"/>
    </row>
    <row r="6" spans="1:8" x14ac:dyDescent="0.25">
      <c r="A6" s="188" t="s">
        <v>342</v>
      </c>
      <c r="B6" s="189">
        <f>+COMPRAS!C31</f>
        <v>420.18728399999992</v>
      </c>
      <c r="C6" s="190"/>
      <c r="D6" s="191"/>
      <c r="E6" s="193"/>
      <c r="F6" s="204"/>
      <c r="G6" s="204"/>
      <c r="H6" s="204"/>
    </row>
    <row r="7" spans="1:8" x14ac:dyDescent="0.25">
      <c r="A7" s="195" t="s">
        <v>341</v>
      </c>
      <c r="B7" s="196" t="str">
        <f>+COMPRAS!C60</f>
        <v>Emitido</v>
      </c>
      <c r="C7" s="197" t="str">
        <f>+CONCATENATE(COMPRAS!C34," ",COMPRAS!C54)</f>
        <v>FACTURA COMPRA # 2 001-001-101</v>
      </c>
      <c r="D7" s="198" t="str">
        <f>CONCATENATE(COMPRAS!C36," / ",COMPRAS!C37)</f>
        <v>VICTOR LOPEZ SANDOVAL / 1712458544001</v>
      </c>
      <c r="E7" s="199">
        <f>+COMPRAS!C44</f>
        <v>43497</v>
      </c>
      <c r="F7" s="205">
        <f>+COMPRAS!E43+COMPRAS!E44-COMPRAS!E45</f>
        <v>424.4316</v>
      </c>
      <c r="G7" s="205">
        <f>+COMPRAS!M52</f>
        <v>49.234065600000001</v>
      </c>
      <c r="H7" s="205">
        <f>+COMPRAS!N52</f>
        <v>426.12932639999991</v>
      </c>
    </row>
    <row r="8" spans="1:8" x14ac:dyDescent="0.25">
      <c r="A8" s="195" t="s">
        <v>18</v>
      </c>
      <c r="B8" s="202" t="str">
        <f>+COMPRAS!C41</f>
        <v>FACTURA</v>
      </c>
      <c r="C8" s="197"/>
      <c r="D8" s="198"/>
      <c r="E8" s="201"/>
      <c r="F8" s="205"/>
      <c r="G8" s="205"/>
      <c r="H8" s="205"/>
    </row>
    <row r="9" spans="1:8" x14ac:dyDescent="0.25">
      <c r="A9" s="195" t="s">
        <v>342</v>
      </c>
      <c r="B9" s="196" t="str">
        <f>+IF(COMPRAS!C60="Emitido","No",0)</f>
        <v>No</v>
      </c>
      <c r="C9" s="197"/>
      <c r="D9" s="198"/>
      <c r="E9" s="201"/>
      <c r="F9" s="205"/>
      <c r="G9" s="205"/>
      <c r="H9" s="205"/>
    </row>
    <row r="10" spans="1:8" x14ac:dyDescent="0.25">
      <c r="A10" s="188" t="s">
        <v>341</v>
      </c>
      <c r="B10" s="189" t="str">
        <f>+COMPRAS!C88</f>
        <v>Emitido</v>
      </c>
      <c r="C10" s="190" t="str">
        <f>+CONCATENATE(COMPRAS!C62," ",COMPRAS!C82)</f>
        <v>FACTURA COMPRA # 3 001-001-102</v>
      </c>
      <c r="D10" s="191" t="str">
        <f>CONCATENATE(COMPRAS!C64," / ",COMPRAS!C65)</f>
        <v>VICTOR LOPEZ SANDOVAL / 1712458544001</v>
      </c>
      <c r="E10" s="192">
        <f>+COMPRAS!C72</f>
        <v>43497</v>
      </c>
      <c r="F10" s="204">
        <f>+COMPRAS!E71+COMPRAS!E72-COMPRAS!E73</f>
        <v>424.4316</v>
      </c>
      <c r="G10" s="204">
        <f>+COMPRAS!M80</f>
        <v>33.954527999999996</v>
      </c>
      <c r="H10" s="204">
        <f>+COMPRAS!N80</f>
        <v>441.40886399999994</v>
      </c>
    </row>
    <row r="11" spans="1:8" x14ac:dyDescent="0.25">
      <c r="A11" s="188" t="s">
        <v>18</v>
      </c>
      <c r="B11" s="194" t="str">
        <f>+COMPRAS!C69</f>
        <v>FACTURA</v>
      </c>
      <c r="C11" s="190"/>
      <c r="D11" s="191"/>
      <c r="E11" s="193"/>
      <c r="F11" s="204"/>
      <c r="G11" s="204"/>
      <c r="H11" s="204"/>
    </row>
    <row r="12" spans="1:8" x14ac:dyDescent="0.25">
      <c r="A12" s="188" t="s">
        <v>342</v>
      </c>
      <c r="B12" s="194" t="str">
        <f>+IF(COMPRAS!C88="Emitido","No",0)</f>
        <v>No</v>
      </c>
      <c r="C12" s="190"/>
      <c r="D12" s="191"/>
      <c r="E12" s="193"/>
      <c r="F12" s="204"/>
      <c r="G12" s="204"/>
      <c r="H12" s="204"/>
    </row>
    <row r="13" spans="1:8" x14ac:dyDescent="0.25">
      <c r="A13" s="195" t="s">
        <v>341</v>
      </c>
      <c r="B13" s="196" t="str">
        <f>+COMPRAS!C116</f>
        <v>Emitido</v>
      </c>
      <c r="C13" s="197" t="str">
        <f>+CONCATENATE(COMPRAS!C90," ",COMPRAS!C110)</f>
        <v>FACTURA COMPRA # 4 001-001-103</v>
      </c>
      <c r="D13" s="198" t="str">
        <f>CONCATENATE(COMPRAS!C92," / ",COMPRAS!C93)</f>
        <v>ILUMAX  / 1708492408001</v>
      </c>
      <c r="E13" s="199">
        <f>+COMPRAS!C100</f>
        <v>43498</v>
      </c>
      <c r="F13" s="205">
        <f>+COMPRAS!E99+COMPRAS!E100-COMPRAS!E101</f>
        <v>1180.8087</v>
      </c>
      <c r="G13" s="205">
        <f>+COMPRAS!M108</f>
        <v>110.9960178</v>
      </c>
      <c r="H13" s="205">
        <f>+COMPRAS!N108</f>
        <v>1211.5097261999999</v>
      </c>
    </row>
    <row r="14" spans="1:8" x14ac:dyDescent="0.25">
      <c r="A14" s="195" t="s">
        <v>18</v>
      </c>
      <c r="B14" s="202" t="str">
        <f>+COMPRAS!C97</f>
        <v>FACTURA</v>
      </c>
      <c r="C14" s="197"/>
      <c r="D14" s="198"/>
      <c r="E14" s="201"/>
      <c r="F14" s="205"/>
      <c r="G14" s="205"/>
      <c r="H14" s="205"/>
    </row>
    <row r="15" spans="1:8" x14ac:dyDescent="0.25">
      <c r="A15" s="195" t="s">
        <v>342</v>
      </c>
      <c r="B15" s="202" t="str">
        <f>+IF(COMPRAS!C116="Emitido","No",0)</f>
        <v>No</v>
      </c>
      <c r="C15" s="197"/>
      <c r="D15" s="198"/>
      <c r="E15" s="201"/>
      <c r="F15" s="205"/>
      <c r="G15" s="205"/>
      <c r="H15" s="205"/>
    </row>
    <row r="16" spans="1:8" x14ac:dyDescent="0.25">
      <c r="A16" s="188" t="s">
        <v>341</v>
      </c>
      <c r="B16" s="189" t="str">
        <f>+COMPRAS!C149</f>
        <v>Emitido</v>
      </c>
      <c r="C16" s="190" t="str">
        <f>+CONCATENATE(COMPRAS!C118," ",COMPRAS!C138)</f>
        <v>FACTURA COMPRA # 5 001-001-104</v>
      </c>
      <c r="D16" s="191" t="str">
        <f>CONCATENATE(COMPRAS!C120," / ",COMPRAS!C121)</f>
        <v>ILUMAX  / 1708492408001</v>
      </c>
      <c r="E16" s="192">
        <f>+COMPRAS!C128</f>
        <v>43498</v>
      </c>
      <c r="F16" s="204">
        <f>+COMPRAS!E127+COMPRAS!E128-COMPRAS!E129</f>
        <v>1180.8087</v>
      </c>
      <c r="G16" s="204">
        <f>+COMPRAS!M136</f>
        <v>108.6344004</v>
      </c>
      <c r="H16" s="204">
        <f>+COMPRAS!N136</f>
        <v>1213.8713435999998</v>
      </c>
    </row>
    <row r="17" spans="1:8" x14ac:dyDescent="0.25">
      <c r="A17" s="188" t="s">
        <v>18</v>
      </c>
      <c r="B17" s="194" t="str">
        <f>+COMPRAS!C125</f>
        <v>FACTURA</v>
      </c>
      <c r="C17" s="190"/>
      <c r="D17" s="191"/>
      <c r="E17" s="193"/>
      <c r="F17" s="204"/>
      <c r="G17" s="204"/>
      <c r="H17" s="204"/>
    </row>
    <row r="18" spans="1:8" x14ac:dyDescent="0.25">
      <c r="A18" s="188" t="s">
        <v>342</v>
      </c>
      <c r="B18" s="194" t="str">
        <f>+IF(COMPRAS!C149="Emitido","No",0)</f>
        <v>No</v>
      </c>
      <c r="C18" s="190"/>
      <c r="D18" s="191"/>
      <c r="E18" s="193"/>
      <c r="F18" s="204"/>
      <c r="G18" s="204"/>
      <c r="H18" s="204"/>
    </row>
    <row r="19" spans="1:8" x14ac:dyDescent="0.25">
      <c r="A19" s="195" t="s">
        <v>341</v>
      </c>
      <c r="B19" s="196" t="str">
        <f>+COMPRAS!C180</f>
        <v>Pendiente</v>
      </c>
      <c r="C19" s="197" t="str">
        <f>+CONCATENATE(COMPRAS!C151," ",COMPRAS!C171)</f>
        <v>FACTURA COMPRA # 6 001-001-105</v>
      </c>
      <c r="D19" s="198" t="str">
        <f>CONCATENATE(COMPRAS!C153," / ",COMPRAS!C154)</f>
        <v>ILUMAX  / 1708492408001</v>
      </c>
      <c r="E19" s="199">
        <f>+COMPRAS!C161</f>
        <v>43498</v>
      </c>
      <c r="F19" s="205">
        <f>+COMPRAS!E160+COMPRAS!E161-COMPRAS!E162</f>
        <v>1180.8087</v>
      </c>
      <c r="G19" s="205">
        <f>+COMPRAS!M169</f>
        <v>51.955582800000002</v>
      </c>
      <c r="H19" s="205">
        <f>+COMPRAS!N169</f>
        <v>1270.5501611999998</v>
      </c>
    </row>
    <row r="20" spans="1:8" x14ac:dyDescent="0.25">
      <c r="A20" s="195" t="s">
        <v>18</v>
      </c>
      <c r="B20" s="202" t="str">
        <f>+COMPRAS!C158</f>
        <v>FACTURA</v>
      </c>
      <c r="C20" s="197"/>
      <c r="D20" s="198"/>
      <c r="E20" s="201"/>
      <c r="F20" s="205"/>
      <c r="G20" s="205"/>
      <c r="H20" s="205"/>
    </row>
    <row r="21" spans="1:8" x14ac:dyDescent="0.25">
      <c r="A21" s="195" t="s">
        <v>342</v>
      </c>
      <c r="B21" s="196">
        <f>+COMPRAS!C179</f>
        <v>508.22006447999996</v>
      </c>
      <c r="C21" s="197"/>
      <c r="D21" s="198"/>
      <c r="E21" s="201"/>
      <c r="F21" s="205"/>
      <c r="G21" s="205"/>
      <c r="H21" s="205"/>
    </row>
    <row r="22" spans="1:8" x14ac:dyDescent="0.25">
      <c r="A22" s="188" t="s">
        <v>341</v>
      </c>
      <c r="B22" s="189" t="str">
        <f>+COMPRAS!C203</f>
        <v>Pendiente</v>
      </c>
      <c r="C22" s="190" t="str">
        <f>+CONCATENATE(COMPRAS!C182," ",COMPRAS!C193,"-",COMPRAS!C194,"-",COMPRAS!C195)</f>
        <v>FACTURA COMPRA # 7 001-001-106</v>
      </c>
      <c r="D22" s="191" t="str">
        <f>CONCATENATE(COMPRAS!C184," / ",COMPRAS!C185)</f>
        <v>VICTOR LOPEZ SANDOVAL / 1712458544001</v>
      </c>
      <c r="E22" s="192">
        <f>+COMPRAS!C192</f>
        <v>43497</v>
      </c>
      <c r="F22" s="204">
        <f>+COMPRAS!E191+COMPRAS!E192-COMPRAS!E193</f>
        <v>424.4316</v>
      </c>
      <c r="G22" s="204">
        <f>+COMPRAS!M142</f>
        <v>0</v>
      </c>
      <c r="H22" s="204">
        <f>+COMPRAS!E195</f>
        <v>475.36339199999992</v>
      </c>
    </row>
    <row r="23" spans="1:8" x14ac:dyDescent="0.25">
      <c r="A23" s="188" t="s">
        <v>18</v>
      </c>
      <c r="B23" s="194" t="str">
        <f>+COMPRAS!C189</f>
        <v>FACTURA</v>
      </c>
      <c r="C23" s="190"/>
      <c r="D23" s="191"/>
      <c r="E23" s="193"/>
      <c r="F23" s="204"/>
      <c r="G23" s="204"/>
      <c r="H23" s="204"/>
    </row>
    <row r="24" spans="1:8" x14ac:dyDescent="0.25">
      <c r="A24" s="188" t="s">
        <v>342</v>
      </c>
      <c r="B24" s="189">
        <f>+COMPRAS!C202</f>
        <v>475.36339199999992</v>
      </c>
      <c r="C24" s="190"/>
      <c r="D24" s="191"/>
      <c r="E24" s="193"/>
      <c r="F24" s="204"/>
      <c r="G24" s="204"/>
      <c r="H24" s="204"/>
    </row>
    <row r="25" spans="1:8" x14ac:dyDescent="0.25">
      <c r="A25" s="195" t="s">
        <v>341</v>
      </c>
      <c r="B25" s="196" t="str">
        <f>+COMPRAS!C226</f>
        <v>Emitido</v>
      </c>
      <c r="C25" s="197" t="str">
        <f>+CONCATENATE(COMPRAS!C205," ",COMPRAS!C216,"-",COMPRAS!C217,"-",COMPRAS!C218)</f>
        <v>FACTURA COMPRA # 8 001-001-107</v>
      </c>
      <c r="D25" s="198" t="str">
        <f>CONCATENATE(COMPRAS!C207," / ",COMPRAS!C208)</f>
        <v>VICTOR LOPEZ SANDOVAL / 1712458544001</v>
      </c>
      <c r="E25" s="199">
        <f>+COMPRAS!C215</f>
        <v>43497</v>
      </c>
      <c r="F25" s="200">
        <f>+COMPRAS!E214+COMPRAS!E215-COMPRAS!E216</f>
        <v>501.85159999999996</v>
      </c>
      <c r="G25" s="201">
        <f>+COMPRAS!M175</f>
        <v>0</v>
      </c>
      <c r="H25" s="200">
        <f>+COMPRAS!E218</f>
        <v>562.07379200000003</v>
      </c>
    </row>
    <row r="26" spans="1:8" x14ac:dyDescent="0.25">
      <c r="A26" s="195" t="s">
        <v>18</v>
      </c>
      <c r="B26" s="202" t="str">
        <f>+COMPRAS!C212</f>
        <v>FACTURA</v>
      </c>
      <c r="C26" s="197"/>
      <c r="D26" s="198"/>
      <c r="E26" s="201"/>
      <c r="F26" s="201"/>
      <c r="G26" s="201"/>
      <c r="H26" s="201"/>
    </row>
    <row r="27" spans="1:8" x14ac:dyDescent="0.25">
      <c r="A27" s="195" t="s">
        <v>342</v>
      </c>
      <c r="B27" s="196" t="str">
        <f>+IF(COMPRAS!C226="Emitido","No",0)</f>
        <v>No</v>
      </c>
      <c r="C27" s="197"/>
      <c r="D27" s="198"/>
      <c r="E27" s="201"/>
      <c r="F27" s="201"/>
      <c r="G27" s="201"/>
      <c r="H27" s="201"/>
    </row>
    <row r="28" spans="1:8" x14ac:dyDescent="0.25">
      <c r="A28" s="188" t="s">
        <v>341</v>
      </c>
      <c r="B28" s="189" t="str">
        <f>+COMPRAS!C249</f>
        <v>Emitido</v>
      </c>
      <c r="C28" s="190" t="str">
        <f>+CONCATENATE(COMPRAS!C228," ",COMPRAS!C239,"-",COMPRAS!C240,"-",COMPRAS!C241)</f>
        <v>FACTURA COMPRA # 9 001-001-108</v>
      </c>
      <c r="D28" s="191" t="str">
        <f>CONCATENATE(COMPRAS!C230," / ",COMPRAS!C231)</f>
        <v>VICTOR LOPEZ SANDOVAL / 1712458544001</v>
      </c>
      <c r="E28" s="192">
        <f>+COMPRAS!C238</f>
        <v>43497</v>
      </c>
      <c r="F28" s="203">
        <f>+COMPRAS!E237+COMPRAS!E238-COMPRAS!E239</f>
        <v>405.8116</v>
      </c>
      <c r="G28" s="193">
        <f>+COMPRAS!M148</f>
        <v>0</v>
      </c>
      <c r="H28" s="203">
        <f>+COMPRAS!E241</f>
        <v>454.50899199999998</v>
      </c>
    </row>
    <row r="29" spans="1:8" x14ac:dyDescent="0.25">
      <c r="A29" s="188" t="s">
        <v>18</v>
      </c>
      <c r="B29" s="194" t="str">
        <f>+COMPRAS!C235</f>
        <v>FACTURA</v>
      </c>
      <c r="C29" s="190"/>
      <c r="D29" s="191"/>
      <c r="E29" s="193"/>
      <c r="F29" s="193"/>
      <c r="G29" s="193"/>
      <c r="H29" s="193"/>
    </row>
    <row r="30" spans="1:8" x14ac:dyDescent="0.25">
      <c r="A30" s="188" t="s">
        <v>342</v>
      </c>
      <c r="B30" s="194" t="str">
        <f>+IF(COMPRAS!C249="Emitido","No",0)</f>
        <v>No</v>
      </c>
      <c r="C30" s="190"/>
      <c r="D30" s="191"/>
      <c r="E30" s="193"/>
      <c r="F30" s="193"/>
      <c r="G30" s="193"/>
      <c r="H30" s="193"/>
    </row>
    <row r="31" spans="1:8" x14ac:dyDescent="0.25">
      <c r="A31" s="195" t="s">
        <v>341</v>
      </c>
      <c r="B31" s="196" t="str">
        <f>+COMPRAS!C272</f>
        <v>Emitido</v>
      </c>
      <c r="C31" s="197" t="str">
        <f>+CONCATENATE(COMPRAS!C251," ",COMPRAS!C262,"-",COMPRAS!C263,"-",COMPRAS!C264)</f>
        <v>FACTURA COMPRA # 10 001-001-109</v>
      </c>
      <c r="D31" s="198" t="str">
        <f>CONCATENATE(COMPRAS!C253," / ",COMPRAS!C254)</f>
        <v>ILUMAX  / 1708492408001</v>
      </c>
      <c r="E31" s="199">
        <f>+COMPRAS!C261</f>
        <v>43498</v>
      </c>
      <c r="F31" s="200">
        <f>+COMPRAS!E260+COMPRAS!E261-COMPRAS!E262</f>
        <v>1180.8087</v>
      </c>
      <c r="G31" s="201">
        <f>+COMPRAS!M181</f>
        <v>0</v>
      </c>
      <c r="H31" s="200">
        <f>+COMPRAS!E264</f>
        <v>1322.5057439999998</v>
      </c>
    </row>
    <row r="32" spans="1:8" x14ac:dyDescent="0.25">
      <c r="A32" s="195" t="s">
        <v>18</v>
      </c>
      <c r="B32" s="202" t="str">
        <f>+COMPRAS!C258</f>
        <v>FACTURA</v>
      </c>
      <c r="C32" s="197"/>
      <c r="D32" s="198"/>
      <c r="E32" s="201"/>
      <c r="F32" s="201"/>
      <c r="G32" s="201"/>
      <c r="H32" s="201"/>
    </row>
    <row r="33" spans="1:8" x14ac:dyDescent="0.25">
      <c r="A33" s="195" t="s">
        <v>342</v>
      </c>
      <c r="B33" s="196" t="str">
        <f>+IF(COMPRAS!C272="Emitido","No",0)</f>
        <v>No</v>
      </c>
      <c r="C33" s="197"/>
      <c r="D33" s="198"/>
      <c r="E33" s="201"/>
      <c r="F33" s="201"/>
      <c r="G33" s="201"/>
      <c r="H33" s="201"/>
    </row>
    <row r="34" spans="1:8" x14ac:dyDescent="0.25">
      <c r="A34" s="188" t="s">
        <v>341</v>
      </c>
      <c r="B34" s="189" t="str">
        <f>+COMPRAS!C301</f>
        <v>Emitido</v>
      </c>
      <c r="C34" s="190" t="str">
        <f>+CONCATENATE(COMPRAS!C274," ",COMPRAS!C285,"-",COMPRAS!C286,"-",COMPRAS!C287)</f>
        <v>FACTURA COMPRA # 11 001-001-110</v>
      </c>
      <c r="D34" s="191" t="str">
        <f>CONCATENATE(COMPRAS!C276," / ",COMPRAS!C277)</f>
        <v>ILUMAX  / 1708492408001</v>
      </c>
      <c r="E34" s="192">
        <f>+COMPRAS!C284</f>
        <v>43498</v>
      </c>
      <c r="F34" s="203">
        <f>+COMPRAS!E283+COMPRAS!E284-COMPRAS!E285</f>
        <v>1180.8087</v>
      </c>
      <c r="G34" s="193">
        <f>+COMPRAS!M154</f>
        <v>0</v>
      </c>
      <c r="H34" s="203">
        <f>+COMPRAS!E287</f>
        <v>1322.5057439999998</v>
      </c>
    </row>
    <row r="35" spans="1:8" x14ac:dyDescent="0.25">
      <c r="A35" s="188" t="s">
        <v>18</v>
      </c>
      <c r="B35" s="194" t="str">
        <f>+COMPRAS!C281</f>
        <v>FACTURA</v>
      </c>
      <c r="C35" s="190"/>
      <c r="D35" s="191"/>
      <c r="E35" s="193"/>
      <c r="F35" s="193"/>
      <c r="G35" s="193"/>
      <c r="H35" s="193"/>
    </row>
    <row r="36" spans="1:8" x14ac:dyDescent="0.25">
      <c r="A36" s="188" t="s">
        <v>342</v>
      </c>
      <c r="B36" s="194" t="str">
        <f>+IF(COMPRAS!C301="Emitido","No",0)</f>
        <v>No</v>
      </c>
      <c r="C36" s="190"/>
      <c r="D36" s="191"/>
      <c r="E36" s="193"/>
      <c r="F36" s="193"/>
      <c r="G36" s="193"/>
      <c r="H36" s="193"/>
    </row>
    <row r="37" spans="1:8" x14ac:dyDescent="0.25">
      <c r="A37" s="195" t="s">
        <v>341</v>
      </c>
      <c r="B37" s="196" t="str">
        <f>+COMPRAS!C317</f>
        <v>Pendiente</v>
      </c>
      <c r="C37" s="197" t="str">
        <f>+CONCATENATE(COMPRAS!C303," ",COMPRAS!C314,"-",COMPRAS!C315,"-",COMPRAS!C316)</f>
        <v>FACTURA COMPRA # 12 001-001-111</v>
      </c>
      <c r="D37" s="198" t="str">
        <f>CONCATENATE(COMPRAS!C305," / ",COMPRAS!C306)</f>
        <v>ILUMAX  / 1708492408001</v>
      </c>
      <c r="E37" s="199">
        <f>+COMPRAS!C313</f>
        <v>43498</v>
      </c>
      <c r="F37" s="200">
        <f>+COMPRAS!E312+COMPRAS!E313-COMPRAS!E314</f>
        <v>1180.8087</v>
      </c>
      <c r="G37" s="201">
        <f>+COMPRAS!M187</f>
        <v>0</v>
      </c>
      <c r="H37" s="200">
        <f>+COMPRAS!E316</f>
        <v>1322.5057439999998</v>
      </c>
    </row>
    <row r="38" spans="1:8" x14ac:dyDescent="0.25">
      <c r="A38" s="195" t="s">
        <v>18</v>
      </c>
      <c r="B38" s="202" t="str">
        <f>+COMPRAS!C310</f>
        <v>FACTURA</v>
      </c>
      <c r="C38" s="197"/>
      <c r="D38" s="198"/>
      <c r="E38" s="201"/>
      <c r="F38" s="201"/>
      <c r="G38" s="201"/>
      <c r="H38" s="201"/>
    </row>
    <row r="39" spans="1:8" x14ac:dyDescent="0.25">
      <c r="A39" s="195" t="s">
        <v>342</v>
      </c>
      <c r="B39" s="196">
        <f>+COMPRAS!C326</f>
        <v>529.00229759999991</v>
      </c>
      <c r="C39" s="197"/>
      <c r="D39" s="198"/>
      <c r="E39" s="201"/>
      <c r="F39" s="201"/>
      <c r="G39" s="201"/>
      <c r="H39" s="201"/>
    </row>
  </sheetData>
  <autoFilter ref="A3:H39" xr:uid="{B17618A2-EF3A-480B-91CB-23A61616A130}">
    <filterColumn colId="0" showButton="0"/>
  </autoFilter>
  <mergeCells count="73">
    <mergeCell ref="C37:C39"/>
    <mergeCell ref="D37:D39"/>
    <mergeCell ref="E37:E39"/>
    <mergeCell ref="F37:F39"/>
    <mergeCell ref="G37:G39"/>
    <mergeCell ref="H37:H39"/>
    <mergeCell ref="C34:C36"/>
    <mergeCell ref="D34:D36"/>
    <mergeCell ref="E34:E36"/>
    <mergeCell ref="F34:F36"/>
    <mergeCell ref="G34:G36"/>
    <mergeCell ref="H34:H36"/>
    <mergeCell ref="C31:C33"/>
    <mergeCell ref="D31:D33"/>
    <mergeCell ref="E31:E33"/>
    <mergeCell ref="F31:F33"/>
    <mergeCell ref="G31:G33"/>
    <mergeCell ref="H31:H33"/>
    <mergeCell ref="C28:C30"/>
    <mergeCell ref="D28:D30"/>
    <mergeCell ref="E28:E30"/>
    <mergeCell ref="F28:F30"/>
    <mergeCell ref="G28:G30"/>
    <mergeCell ref="H28:H30"/>
    <mergeCell ref="C25:C27"/>
    <mergeCell ref="D25:D27"/>
    <mergeCell ref="E25:E27"/>
    <mergeCell ref="F25:F27"/>
    <mergeCell ref="G25:G27"/>
    <mergeCell ref="H25:H27"/>
    <mergeCell ref="C22:C24"/>
    <mergeCell ref="D22:D24"/>
    <mergeCell ref="E22:E24"/>
    <mergeCell ref="F22:F24"/>
    <mergeCell ref="G22:G24"/>
    <mergeCell ref="H22:H24"/>
    <mergeCell ref="C19:C21"/>
    <mergeCell ref="D19:D21"/>
    <mergeCell ref="E19:E21"/>
    <mergeCell ref="F19:F21"/>
    <mergeCell ref="G19:G21"/>
    <mergeCell ref="H19:H21"/>
    <mergeCell ref="C16:C18"/>
    <mergeCell ref="D16:D18"/>
    <mergeCell ref="E16:E18"/>
    <mergeCell ref="F16:F18"/>
    <mergeCell ref="G16:G18"/>
    <mergeCell ref="H16:H18"/>
    <mergeCell ref="C13:C15"/>
    <mergeCell ref="D13:D15"/>
    <mergeCell ref="E13:E15"/>
    <mergeCell ref="F13:F15"/>
    <mergeCell ref="G13:G15"/>
    <mergeCell ref="H13:H15"/>
    <mergeCell ref="C10:C12"/>
    <mergeCell ref="D10:D12"/>
    <mergeCell ref="E10:E12"/>
    <mergeCell ref="F10:F12"/>
    <mergeCell ref="G10:G12"/>
    <mergeCell ref="H10:H12"/>
    <mergeCell ref="G4:G6"/>
    <mergeCell ref="H4:H6"/>
    <mergeCell ref="C7:C9"/>
    <mergeCell ref="D7:D9"/>
    <mergeCell ref="E7:E9"/>
    <mergeCell ref="F7:F9"/>
    <mergeCell ref="G7:G9"/>
    <mergeCell ref="H7:H9"/>
    <mergeCell ref="A3:B3"/>
    <mergeCell ref="C4:C6"/>
    <mergeCell ref="D4:D6"/>
    <mergeCell ref="E4:E6"/>
    <mergeCell ref="F4:F6"/>
  </mergeCells>
  <hyperlinks>
    <hyperlink ref="C4:C6" location="FACTURA_COMPRA___1" display="FACTURA_COMPRA___1" xr:uid="{DE7D16D4-B72D-4314-AFC7-2FF3371AA07C}"/>
    <hyperlink ref="C7:C9" location="FACTURA_COMPRA___2" display="FACTURA_COMPRA___2" xr:uid="{F8DB5978-CA4C-493B-B3F7-0047C179F3D4}"/>
    <hyperlink ref="C10:C12" location="FACTURA_COMPRA___3" display="FACTURA_COMPRA___3" xr:uid="{D5AE8A3A-31A8-4BF7-BE85-F4DD2E5BDAA4}"/>
    <hyperlink ref="C13:C15" location="FACTURA_COMPRA___4" display="FACTURA_COMPRA___4" xr:uid="{493AA41A-FDAE-4498-A522-C1ABA58C5081}"/>
    <hyperlink ref="C16:C18" location="FACTURA_COMPRA___5" display="FACTURA_COMPRA___5" xr:uid="{D2485F7D-B9DF-47F7-9042-A724A2ABE504}"/>
    <hyperlink ref="C19:C21" location="FACTURA_COMPRA___6" display="FACTURA_COMPRA___6" xr:uid="{4CA2F1F1-93A8-4B35-8AB2-C836E9875B64}"/>
    <hyperlink ref="C22:C24" location="FACTURA_COMPRA___7" display="FACTURA_COMPRA___7" xr:uid="{A39DF610-6850-483E-9478-AB26204E9C84}"/>
    <hyperlink ref="C25:C27" location="FACTURA_COMPRA___8" display="FACTURA_COMPRA___8" xr:uid="{2A44E0D6-549D-459E-9466-D7A0CFB6BD19}"/>
    <hyperlink ref="C28:C30" location="FACTURA_COMPRA___9" display="FACTURA_COMPRA___9" xr:uid="{5A9C9F2A-9653-41BA-99E0-36D9EEB32A9A}"/>
    <hyperlink ref="C31:C33" location="FACTURA_COMPRA___10" display="FACTURA_COMPRA___10" xr:uid="{38784563-06E9-41B4-AC54-B4D7FABAA0B5}"/>
    <hyperlink ref="C34:C36" location="FACTURA_COMPRA___11" display="FACTURA_COMPRA___11" xr:uid="{B68E0683-3CD1-47F3-971F-08C640325C66}"/>
    <hyperlink ref="C37:C39" location="FACTURA_COMPRA___12" display="FACTURA_COMPRA___12" xr:uid="{D3C239F4-1FB3-4D9B-84DE-ABCCC8DBDD8F}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D286-E629-440E-AFB9-0D130338FCF5}">
  <dimension ref="A1:R1309"/>
  <sheetViews>
    <sheetView zoomScale="70" zoomScaleNormal="70" workbookViewId="0">
      <selection activeCell="C32" sqref="B23:C32"/>
    </sheetView>
  </sheetViews>
  <sheetFormatPr baseColWidth="10" defaultRowHeight="15" x14ac:dyDescent="0.25"/>
  <cols>
    <col min="1" max="1" width="28.28515625" bestFit="1" customWidth="1"/>
    <col min="2" max="2" width="25.42578125" bestFit="1" customWidth="1"/>
    <col min="3" max="3" width="57.85546875" bestFit="1" customWidth="1"/>
    <col min="4" max="4" width="19.5703125" bestFit="1" customWidth="1"/>
    <col min="5" max="5" width="21.7109375" bestFit="1" customWidth="1"/>
    <col min="6" max="6" width="10.7109375" customWidth="1"/>
    <col min="7" max="7" width="48.28515625" bestFit="1" customWidth="1"/>
    <col min="8" max="8" width="12.5703125" bestFit="1" customWidth="1"/>
    <col min="9" max="9" width="14" bestFit="1" customWidth="1"/>
    <col min="10" max="10" width="15.7109375" bestFit="1" customWidth="1"/>
    <col min="11" max="11" width="13.140625" customWidth="1"/>
    <col min="12" max="12" width="14.5703125" bestFit="1" customWidth="1"/>
    <col min="13" max="13" width="15" bestFit="1" customWidth="1"/>
    <col min="14" max="14" width="14.42578125" bestFit="1" customWidth="1"/>
    <col min="15" max="15" width="15.7109375" bestFit="1" customWidth="1"/>
    <col min="16" max="16" width="25" bestFit="1" customWidth="1"/>
    <col min="17" max="17" width="14.42578125" bestFit="1" customWidth="1"/>
    <col min="18" max="18" width="20.28515625" bestFit="1" customWidth="1"/>
  </cols>
  <sheetData>
    <row r="1" spans="1:18" x14ac:dyDescent="0.25">
      <c r="A1" s="111" t="s">
        <v>0</v>
      </c>
      <c r="B1" s="111"/>
      <c r="C1" s="111"/>
      <c r="D1" s="111"/>
    </row>
    <row r="2" spans="1:18" x14ac:dyDescent="0.25">
      <c r="A2" s="111" t="s">
        <v>1</v>
      </c>
      <c r="B2" s="111"/>
      <c r="C2" s="111"/>
      <c r="D2" s="111"/>
    </row>
    <row r="3" spans="1:18" x14ac:dyDescent="0.25">
      <c r="A3" s="111" t="s">
        <v>2</v>
      </c>
      <c r="B3" s="111"/>
      <c r="C3" s="111"/>
      <c r="D3">
        <v>999999999</v>
      </c>
    </row>
    <row r="5" spans="1:18" ht="26.25" x14ac:dyDescent="0.4">
      <c r="C5" s="34"/>
      <c r="D5" s="34"/>
      <c r="E5" s="34"/>
      <c r="F5" s="34"/>
      <c r="G5" s="34"/>
      <c r="H5" s="34"/>
      <c r="I5" s="34"/>
      <c r="J5" s="34"/>
    </row>
    <row r="6" spans="1:18" ht="26.25" x14ac:dyDescent="0.4">
      <c r="A6" s="34" t="s">
        <v>3</v>
      </c>
      <c r="B6" s="34" t="s">
        <v>92</v>
      </c>
      <c r="C6" s="1" t="s">
        <v>4</v>
      </c>
    </row>
    <row r="7" spans="1:18" x14ac:dyDescent="0.25">
      <c r="B7" s="112" t="s">
        <v>5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</row>
    <row r="8" spans="1:18" x14ac:dyDescent="0.25">
      <c r="B8" s="2" t="s">
        <v>6</v>
      </c>
      <c r="C8" s="3" t="s">
        <v>7</v>
      </c>
      <c r="D8" s="4" t="s">
        <v>8</v>
      </c>
      <c r="E8" s="5" t="s">
        <v>9</v>
      </c>
      <c r="F8" s="5" t="s">
        <v>14</v>
      </c>
      <c r="G8" s="5" t="s">
        <v>10</v>
      </c>
      <c r="H8" s="5" t="s">
        <v>11</v>
      </c>
      <c r="I8" s="5" t="s">
        <v>148</v>
      </c>
      <c r="J8" s="5" t="s">
        <v>149</v>
      </c>
      <c r="K8" s="5" t="s">
        <v>12</v>
      </c>
      <c r="L8" s="5" t="s">
        <v>13</v>
      </c>
      <c r="M8" s="5" t="s">
        <v>40</v>
      </c>
      <c r="N8" s="5" t="s">
        <v>14</v>
      </c>
      <c r="O8" s="5" t="s">
        <v>15</v>
      </c>
      <c r="P8" s="5" t="s">
        <v>16</v>
      </c>
      <c r="Q8" s="5" t="s">
        <v>17</v>
      </c>
      <c r="R8" s="5" t="s">
        <v>18</v>
      </c>
    </row>
    <row r="9" spans="1:18" x14ac:dyDescent="0.25">
      <c r="B9" s="2" t="s">
        <v>19</v>
      </c>
      <c r="C9" s="6" t="s">
        <v>20</v>
      </c>
      <c r="D9" s="9">
        <v>61</v>
      </c>
      <c r="E9" s="9" t="s">
        <v>41</v>
      </c>
      <c r="F9" s="43">
        <v>0.12</v>
      </c>
      <c r="G9" s="7" t="s">
        <v>104</v>
      </c>
      <c r="H9" s="51">
        <v>1.45</v>
      </c>
      <c r="I9" s="51">
        <f>+IF(F9=0%,D9*H9,0)</f>
        <v>0</v>
      </c>
      <c r="J9" s="51">
        <f>+IF(F9=12%,D9*H9,0)</f>
        <v>88.45</v>
      </c>
      <c r="K9" s="52">
        <v>0</v>
      </c>
      <c r="L9" s="53">
        <v>0</v>
      </c>
      <c r="M9" s="53">
        <f>+J9*K9</f>
        <v>0</v>
      </c>
      <c r="N9" s="53">
        <f>+(J9-M9)*F9</f>
        <v>10.614000000000001</v>
      </c>
      <c r="O9" s="53">
        <f>+J9-M9+N9</f>
        <v>99.064000000000007</v>
      </c>
      <c r="P9" s="7" t="s">
        <v>45</v>
      </c>
      <c r="Q9" s="7" t="s">
        <v>46</v>
      </c>
      <c r="R9" s="7" t="s">
        <v>45</v>
      </c>
    </row>
    <row r="10" spans="1:18" x14ac:dyDescent="0.25">
      <c r="B10" s="2" t="s">
        <v>21</v>
      </c>
      <c r="C10" s="15" t="s">
        <v>22</v>
      </c>
      <c r="D10" s="9">
        <v>56.21</v>
      </c>
      <c r="E10" s="9" t="s">
        <v>42</v>
      </c>
      <c r="F10" s="43">
        <v>0.12</v>
      </c>
      <c r="G10" s="7" t="s">
        <v>106</v>
      </c>
      <c r="H10" s="51">
        <v>2.96</v>
      </c>
      <c r="I10" s="51">
        <f>+IF(F10=0%,D10*H10,0)</f>
        <v>0</v>
      </c>
      <c r="J10" s="51">
        <f>+IF(F10=12%,D10*H10,0)</f>
        <v>166.38159999999999</v>
      </c>
      <c r="K10" s="52">
        <v>0</v>
      </c>
      <c r="L10" s="53">
        <v>0</v>
      </c>
      <c r="M10" s="53">
        <f>+J10*K10</f>
        <v>0</v>
      </c>
      <c r="N10" s="53">
        <f>+(J10-M10)*F10</f>
        <v>19.965791999999997</v>
      </c>
      <c r="O10" s="53">
        <f>+J10-M10+N10</f>
        <v>186.34739199999999</v>
      </c>
      <c r="P10" s="7" t="s">
        <v>45</v>
      </c>
      <c r="Q10" s="9" t="s">
        <v>46</v>
      </c>
      <c r="R10" s="7" t="s">
        <v>45</v>
      </c>
    </row>
    <row r="11" spans="1:18" ht="30" x14ac:dyDescent="0.25">
      <c r="B11" s="2" t="s">
        <v>23</v>
      </c>
      <c r="C11" s="8" t="s">
        <v>70</v>
      </c>
      <c r="D11" s="13">
        <v>49</v>
      </c>
      <c r="E11" s="9" t="s">
        <v>43</v>
      </c>
      <c r="F11" s="43">
        <v>0.12</v>
      </c>
      <c r="G11" s="7" t="s">
        <v>108</v>
      </c>
      <c r="H11" s="51">
        <v>3.15</v>
      </c>
      <c r="I11" s="51">
        <f>+IF(F11=0%,D11*H11,0)</f>
        <v>0</v>
      </c>
      <c r="J11" s="51">
        <f>+IF(F11=12%,D11*H11,0)</f>
        <v>154.35</v>
      </c>
      <c r="K11" s="52">
        <v>0</v>
      </c>
      <c r="L11" s="53">
        <v>0</v>
      </c>
      <c r="M11" s="53">
        <f>+J11*K11</f>
        <v>0</v>
      </c>
      <c r="N11" s="53">
        <f>+(J11-M11)*F11</f>
        <v>18.521999999999998</v>
      </c>
      <c r="O11" s="53">
        <f>+J11-M11+N11</f>
        <v>172.87199999999999</v>
      </c>
      <c r="P11" s="7" t="s">
        <v>45</v>
      </c>
      <c r="Q11" s="9" t="s">
        <v>46</v>
      </c>
      <c r="R11" s="7" t="s">
        <v>45</v>
      </c>
    </row>
    <row r="12" spans="1:18" x14ac:dyDescent="0.25">
      <c r="B12" s="2" t="s">
        <v>26</v>
      </c>
      <c r="C12" s="12" t="s">
        <v>71</v>
      </c>
      <c r="D12" s="13">
        <v>12.2</v>
      </c>
      <c r="E12" s="9" t="s">
        <v>44</v>
      </c>
      <c r="F12" s="43">
        <v>0.12</v>
      </c>
      <c r="G12" s="7" t="s">
        <v>110</v>
      </c>
      <c r="H12" s="51">
        <v>1.25</v>
      </c>
      <c r="I12" s="51">
        <f>+IF(F12=0%,D12*H12,0)</f>
        <v>0</v>
      </c>
      <c r="J12" s="51">
        <f>+IF(F12=12%,D12*H12,0)</f>
        <v>15.25</v>
      </c>
      <c r="K12" s="52">
        <v>0</v>
      </c>
      <c r="L12" s="53">
        <v>0</v>
      </c>
      <c r="M12" s="53">
        <f>+J12*K12</f>
        <v>0</v>
      </c>
      <c r="N12" s="53">
        <f>+(J12-M12)*F12</f>
        <v>1.8299999999999998</v>
      </c>
      <c r="O12" s="53">
        <f>+J12-M12+N12</f>
        <v>17.079999999999998</v>
      </c>
      <c r="P12" s="7" t="s">
        <v>45</v>
      </c>
      <c r="Q12" s="9" t="s">
        <v>46</v>
      </c>
      <c r="R12" s="7" t="s">
        <v>45</v>
      </c>
    </row>
    <row r="13" spans="1:18" x14ac:dyDescent="0.25">
      <c r="B13" s="2" t="s">
        <v>27</v>
      </c>
      <c r="C13" s="3" t="s">
        <v>28</v>
      </c>
      <c r="D13" s="9"/>
      <c r="E13" s="9"/>
      <c r="F13" s="9"/>
      <c r="G13" s="7"/>
      <c r="H13" s="10"/>
      <c r="I13" s="10"/>
      <c r="J13" s="10"/>
      <c r="K13" s="10"/>
      <c r="L13" s="9"/>
      <c r="M13" s="10"/>
      <c r="N13" s="10"/>
      <c r="O13" s="11"/>
      <c r="P13" s="7"/>
      <c r="Q13" s="9"/>
      <c r="R13" s="7"/>
    </row>
    <row r="14" spans="1:18" x14ac:dyDescent="0.25">
      <c r="B14" s="2" t="s">
        <v>29</v>
      </c>
      <c r="C14" s="3">
        <v>1</v>
      </c>
      <c r="D14" s="9"/>
      <c r="E14" s="9"/>
      <c r="F14" s="9"/>
      <c r="G14" s="9"/>
      <c r="H14" s="10"/>
      <c r="I14" s="10"/>
      <c r="J14" s="10"/>
      <c r="K14" s="10"/>
      <c r="L14" s="9"/>
      <c r="M14" s="10"/>
      <c r="N14" s="10"/>
      <c r="O14" s="11"/>
      <c r="P14" s="9"/>
      <c r="Q14" s="9"/>
      <c r="R14" s="7"/>
    </row>
    <row r="15" spans="1:18" ht="15.75" thickBot="1" x14ac:dyDescent="0.3">
      <c r="B15" s="2" t="s">
        <v>30</v>
      </c>
      <c r="C15" s="7">
        <v>1120335551</v>
      </c>
      <c r="D15" s="39" t="s">
        <v>148</v>
      </c>
      <c r="E15" s="49">
        <f>+SUM(I9:I12)</f>
        <v>0</v>
      </c>
      <c r="G15" s="23"/>
      <c r="H15" s="41"/>
      <c r="I15" s="41"/>
      <c r="J15" s="41"/>
      <c r="K15" s="41"/>
      <c r="L15" s="23"/>
      <c r="M15" s="41"/>
      <c r="N15" s="41"/>
      <c r="O15" s="42"/>
      <c r="P15" s="23"/>
      <c r="Q15" s="23"/>
      <c r="R15" s="22"/>
    </row>
    <row r="16" spans="1:18" ht="15.75" thickBot="1" x14ac:dyDescent="0.3">
      <c r="B16" s="2" t="s">
        <v>31</v>
      </c>
      <c r="C16" s="14">
        <v>43497</v>
      </c>
      <c r="D16" s="16" t="s">
        <v>36</v>
      </c>
      <c r="E16" s="50">
        <f>+SUM(J9:J14)</f>
        <v>424.4316</v>
      </c>
      <c r="G16" s="23"/>
      <c r="H16" s="41"/>
      <c r="I16" s="41"/>
      <c r="J16" s="41"/>
      <c r="K16" s="41"/>
      <c r="L16" s="23"/>
      <c r="M16" s="41"/>
      <c r="N16" s="41"/>
      <c r="O16" s="42"/>
      <c r="P16" s="23"/>
      <c r="Q16" s="23"/>
      <c r="R16" s="22"/>
    </row>
    <row r="17" spans="2:15" ht="15.75" thickBot="1" x14ac:dyDescent="0.3">
      <c r="B17" s="2" t="s">
        <v>32</v>
      </c>
      <c r="C17" s="15" t="s">
        <v>33</v>
      </c>
      <c r="D17" s="16" t="s">
        <v>39</v>
      </c>
      <c r="E17" s="50">
        <f>SUM(M9:M14)</f>
        <v>0</v>
      </c>
      <c r="G17" t="s">
        <v>331</v>
      </c>
    </row>
    <row r="18" spans="2:15" ht="15.75" thickBot="1" x14ac:dyDescent="0.3">
      <c r="B18" s="2" t="s">
        <v>35</v>
      </c>
      <c r="C18" s="15" t="s">
        <v>33</v>
      </c>
      <c r="D18" s="16" t="s">
        <v>14</v>
      </c>
      <c r="E18" s="50">
        <f>SUM(N9:N14)</f>
        <v>50.931791999999994</v>
      </c>
    </row>
    <row r="19" spans="2:15" ht="15.75" thickBot="1" x14ac:dyDescent="0.3">
      <c r="B19" s="2" t="s">
        <v>37</v>
      </c>
      <c r="C19" s="15" t="s">
        <v>156</v>
      </c>
      <c r="D19" s="16" t="s">
        <v>15</v>
      </c>
      <c r="E19" s="50">
        <f>SUM(O9:O14)</f>
        <v>475.36339199999992</v>
      </c>
    </row>
    <row r="20" spans="2:15" x14ac:dyDescent="0.25">
      <c r="B20" s="18"/>
      <c r="C20" s="18"/>
    </row>
    <row r="21" spans="2:15" x14ac:dyDescent="0.25">
      <c r="B21" s="18"/>
      <c r="C21" s="18"/>
    </row>
    <row r="22" spans="2:15" x14ac:dyDescent="0.25">
      <c r="B22" s="114" t="s">
        <v>47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</row>
    <row r="23" spans="2:15" x14ac:dyDescent="0.25">
      <c r="B23" s="2" t="s">
        <v>48</v>
      </c>
      <c r="C23" s="15" t="s">
        <v>33</v>
      </c>
      <c r="D23" s="19" t="s">
        <v>16</v>
      </c>
      <c r="E23" s="115" t="s">
        <v>152</v>
      </c>
      <c r="F23" s="116"/>
      <c r="G23" s="47" t="s">
        <v>150</v>
      </c>
      <c r="H23" s="117" t="s">
        <v>49</v>
      </c>
      <c r="I23" s="118"/>
      <c r="J23" s="117" t="s">
        <v>151</v>
      </c>
      <c r="K23" s="118"/>
      <c r="L23" s="5" t="s">
        <v>50</v>
      </c>
      <c r="M23" s="5" t="s">
        <v>51</v>
      </c>
      <c r="N23" s="117" t="s">
        <v>155</v>
      </c>
      <c r="O23" s="118"/>
    </row>
    <row r="24" spans="2:15" x14ac:dyDescent="0.25">
      <c r="B24" s="2" t="s">
        <v>52</v>
      </c>
      <c r="C24" s="15" t="s">
        <v>33</v>
      </c>
      <c r="D24" s="9" t="s">
        <v>166</v>
      </c>
      <c r="E24" s="119" t="s">
        <v>167</v>
      </c>
      <c r="F24" s="119"/>
      <c r="G24" s="48">
        <v>731</v>
      </c>
      <c r="H24" s="120" t="s">
        <v>14</v>
      </c>
      <c r="I24" s="121"/>
      <c r="J24" s="122">
        <v>1</v>
      </c>
      <c r="K24" s="123"/>
      <c r="L24" s="54">
        <f>+E18*J24</f>
        <v>50.931791999999994</v>
      </c>
      <c r="M24" s="131">
        <f>+L24+L25</f>
        <v>55.176107999999992</v>
      </c>
      <c r="N24" s="133">
        <f>+E19-M24</f>
        <v>420.18728399999992</v>
      </c>
      <c r="O24" s="134"/>
    </row>
    <row r="25" spans="2:15" x14ac:dyDescent="0.25">
      <c r="B25" s="2" t="s">
        <v>53</v>
      </c>
      <c r="C25" s="15" t="s">
        <v>162</v>
      </c>
      <c r="D25" s="9" t="s">
        <v>165</v>
      </c>
      <c r="E25" s="119" t="s">
        <v>168</v>
      </c>
      <c r="F25" s="119"/>
      <c r="G25" s="48">
        <v>309</v>
      </c>
      <c r="H25" s="120" t="s">
        <v>153</v>
      </c>
      <c r="I25" s="121"/>
      <c r="J25" s="122">
        <v>0.01</v>
      </c>
      <c r="K25" s="123"/>
      <c r="L25" s="54">
        <f>(E16+E15-E17)*J25</f>
        <v>4.2443160000000004</v>
      </c>
      <c r="M25" s="132"/>
      <c r="N25" s="135"/>
      <c r="O25" s="136"/>
    </row>
    <row r="26" spans="2:15" x14ac:dyDescent="0.25">
      <c r="B26" s="2" t="s">
        <v>55</v>
      </c>
      <c r="C26" s="3" t="str">
        <f>+CONCATENATE(C17,"-",C18,"-",C19)</f>
        <v>001-001-100</v>
      </c>
    </row>
    <row r="27" spans="2:15" x14ac:dyDescent="0.25">
      <c r="B27" s="2" t="s">
        <v>57</v>
      </c>
      <c r="C27" s="21">
        <f>+C16</f>
        <v>43497</v>
      </c>
    </row>
    <row r="28" spans="2:15" x14ac:dyDescent="0.25">
      <c r="B28" s="2" t="s">
        <v>86</v>
      </c>
      <c r="C28" s="21" t="s">
        <v>87</v>
      </c>
      <c r="D28" s="22"/>
      <c r="E28" s="28" t="s">
        <v>279</v>
      </c>
      <c r="F28" s="23"/>
      <c r="H28" s="23"/>
      <c r="I28" s="23"/>
      <c r="J28" s="24"/>
      <c r="K28" s="24"/>
      <c r="L28" s="25"/>
      <c r="M28" s="26"/>
      <c r="N28" s="22"/>
      <c r="O28" s="22"/>
    </row>
    <row r="29" spans="2:15" x14ac:dyDescent="0.25">
      <c r="B29" s="2" t="s">
        <v>59</v>
      </c>
      <c r="C29" s="21" t="s">
        <v>84</v>
      </c>
      <c r="D29" s="22"/>
      <c r="E29" s="28" t="s">
        <v>330</v>
      </c>
      <c r="F29" s="23"/>
      <c r="H29" s="23"/>
      <c r="I29" s="23"/>
      <c r="J29" s="24"/>
      <c r="K29" s="24"/>
      <c r="L29" s="25"/>
      <c r="M29" s="26"/>
      <c r="N29" s="22"/>
      <c r="O29" s="22"/>
    </row>
    <row r="30" spans="2:15" x14ac:dyDescent="0.25">
      <c r="B30" s="2" t="s">
        <v>60</v>
      </c>
      <c r="C30" s="21" t="s">
        <v>85</v>
      </c>
      <c r="D30" s="22"/>
      <c r="E30" s="23"/>
      <c r="F30" s="23"/>
      <c r="H30" s="23"/>
      <c r="I30" s="23"/>
      <c r="J30" s="24"/>
      <c r="K30" s="24"/>
      <c r="L30" s="25"/>
      <c r="M30" s="26"/>
      <c r="N30" s="22"/>
      <c r="O30" s="22"/>
    </row>
    <row r="31" spans="2:15" x14ac:dyDescent="0.25">
      <c r="B31" s="2" t="s">
        <v>61</v>
      </c>
      <c r="C31" s="27">
        <f>+E19-M24</f>
        <v>420.18728399999992</v>
      </c>
      <c r="D31" s="22"/>
      <c r="E31" s="28"/>
      <c r="G31" s="23"/>
      <c r="H31" s="24"/>
      <c r="I31" s="24"/>
      <c r="J31" s="24"/>
      <c r="K31" s="25"/>
      <c r="L31" s="26"/>
      <c r="M31" s="22"/>
      <c r="N31" s="22"/>
    </row>
    <row r="32" spans="2:15" x14ac:dyDescent="0.25">
      <c r="B32" s="2" t="s">
        <v>343</v>
      </c>
      <c r="C32" s="27" t="s">
        <v>84</v>
      </c>
    </row>
    <row r="34" spans="1:18" ht="26.25" x14ac:dyDescent="0.4">
      <c r="A34" s="34" t="s">
        <v>3</v>
      </c>
      <c r="B34" s="34" t="s">
        <v>93</v>
      </c>
      <c r="C34" s="1" t="s">
        <v>62</v>
      </c>
    </row>
    <row r="35" spans="1:18" x14ac:dyDescent="0.25">
      <c r="B35" s="112" t="s">
        <v>5</v>
      </c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</row>
    <row r="36" spans="1:18" x14ac:dyDescent="0.25">
      <c r="B36" s="2" t="s">
        <v>6</v>
      </c>
      <c r="C36" s="3" t="s">
        <v>7</v>
      </c>
      <c r="D36" s="4" t="s">
        <v>8</v>
      </c>
      <c r="E36" s="5" t="s">
        <v>9</v>
      </c>
      <c r="F36" s="5" t="s">
        <v>14</v>
      </c>
      <c r="G36" s="5" t="s">
        <v>10</v>
      </c>
      <c r="H36" s="5" t="s">
        <v>11</v>
      </c>
      <c r="I36" s="5" t="s">
        <v>148</v>
      </c>
      <c r="J36" s="5" t="s">
        <v>149</v>
      </c>
      <c r="K36" s="5" t="s">
        <v>12</v>
      </c>
      <c r="L36" s="5" t="s">
        <v>13</v>
      </c>
      <c r="M36" s="5" t="s">
        <v>40</v>
      </c>
      <c r="N36" s="5" t="s">
        <v>14</v>
      </c>
      <c r="O36" s="5" t="s">
        <v>15</v>
      </c>
      <c r="P36" s="5" t="s">
        <v>16</v>
      </c>
      <c r="Q36" s="5" t="s">
        <v>17</v>
      </c>
      <c r="R36" s="5" t="s">
        <v>18</v>
      </c>
    </row>
    <row r="37" spans="1:18" x14ac:dyDescent="0.25">
      <c r="B37" s="2" t="s">
        <v>19</v>
      </c>
      <c r="C37" s="6" t="s">
        <v>20</v>
      </c>
      <c r="D37" s="9">
        <v>61</v>
      </c>
      <c r="E37" s="9" t="s">
        <v>41</v>
      </c>
      <c r="F37" s="43">
        <v>0.12</v>
      </c>
      <c r="G37" s="7" t="s">
        <v>104</v>
      </c>
      <c r="H37" s="51">
        <v>1.45</v>
      </c>
      <c r="I37" s="51">
        <f>+IF(F37=0%,D37*H37,0)</f>
        <v>0</v>
      </c>
      <c r="J37" s="51">
        <f>+IF(F37=12%,D37*H37,0)</f>
        <v>88.45</v>
      </c>
      <c r="K37" s="52">
        <v>0</v>
      </c>
      <c r="L37" s="53">
        <v>0</v>
      </c>
      <c r="M37" s="53">
        <f>+J37*K37</f>
        <v>0</v>
      </c>
      <c r="N37" s="53">
        <f>+(J37-M37)*F37</f>
        <v>10.614000000000001</v>
      </c>
      <c r="O37" s="53">
        <f>+J37-M37+N37</f>
        <v>99.064000000000007</v>
      </c>
      <c r="P37" s="7" t="s">
        <v>45</v>
      </c>
      <c r="Q37" s="7" t="s">
        <v>46</v>
      </c>
      <c r="R37" s="7" t="s">
        <v>45</v>
      </c>
    </row>
    <row r="38" spans="1:18" x14ac:dyDescent="0.25">
      <c r="B38" s="2" t="s">
        <v>21</v>
      </c>
      <c r="C38" s="15" t="s">
        <v>22</v>
      </c>
      <c r="D38" s="9">
        <v>56.21</v>
      </c>
      <c r="E38" s="9" t="s">
        <v>42</v>
      </c>
      <c r="F38" s="43">
        <v>0.12</v>
      </c>
      <c r="G38" s="7" t="s">
        <v>106</v>
      </c>
      <c r="H38" s="51">
        <v>2.96</v>
      </c>
      <c r="I38" s="51">
        <f>+IF(F38=0%,D38*H38,0)</f>
        <v>0</v>
      </c>
      <c r="J38" s="51">
        <f>+IF(F38=12%,D38*H38,0)</f>
        <v>166.38159999999999</v>
      </c>
      <c r="K38" s="52">
        <v>0</v>
      </c>
      <c r="L38" s="53">
        <v>0</v>
      </c>
      <c r="M38" s="53">
        <f>+J38*K38</f>
        <v>0</v>
      </c>
      <c r="N38" s="53">
        <f>+(J38-M38)*F38</f>
        <v>19.965791999999997</v>
      </c>
      <c r="O38" s="53">
        <f>+J38-M38+N38</f>
        <v>186.34739199999999</v>
      </c>
      <c r="P38" s="7" t="s">
        <v>45</v>
      </c>
      <c r="Q38" s="9" t="s">
        <v>46</v>
      </c>
      <c r="R38" s="7" t="s">
        <v>45</v>
      </c>
    </row>
    <row r="39" spans="1:18" ht="30" x14ac:dyDescent="0.25">
      <c r="B39" s="2" t="s">
        <v>23</v>
      </c>
      <c r="C39" s="30" t="s">
        <v>70</v>
      </c>
      <c r="D39" s="13">
        <v>49</v>
      </c>
      <c r="E39" s="9" t="s">
        <v>43</v>
      </c>
      <c r="F39" s="43">
        <v>0.12</v>
      </c>
      <c r="G39" s="7" t="s">
        <v>108</v>
      </c>
      <c r="H39" s="51">
        <v>3.15</v>
      </c>
      <c r="I39" s="51">
        <f>+IF(F39=0%,D39*H39,0)</f>
        <v>0</v>
      </c>
      <c r="J39" s="51">
        <f>+IF(F39=12%,D39*H39,0)</f>
        <v>154.35</v>
      </c>
      <c r="K39" s="52">
        <v>0</v>
      </c>
      <c r="L39" s="53">
        <v>0</v>
      </c>
      <c r="M39" s="53">
        <f>+J39*K39</f>
        <v>0</v>
      </c>
      <c r="N39" s="53">
        <f>+(J39-M39)*F39</f>
        <v>18.521999999999998</v>
      </c>
      <c r="O39" s="53">
        <f>+J39-M39+N39</f>
        <v>172.87199999999999</v>
      </c>
      <c r="P39" s="7" t="s">
        <v>45</v>
      </c>
      <c r="Q39" s="9" t="s">
        <v>46</v>
      </c>
      <c r="R39" s="7" t="s">
        <v>45</v>
      </c>
    </row>
    <row r="40" spans="1:18" x14ac:dyDescent="0.25">
      <c r="B40" s="2" t="s">
        <v>26</v>
      </c>
      <c r="C40" s="12" t="s">
        <v>71</v>
      </c>
      <c r="D40" s="13">
        <v>12.2</v>
      </c>
      <c r="E40" s="9" t="s">
        <v>44</v>
      </c>
      <c r="F40" s="43">
        <v>0.12</v>
      </c>
      <c r="G40" s="7" t="s">
        <v>110</v>
      </c>
      <c r="H40" s="51">
        <v>1.25</v>
      </c>
      <c r="I40" s="51">
        <f>+IF(F40=0%,D40*H40,0)</f>
        <v>0</v>
      </c>
      <c r="J40" s="51">
        <f>+IF(F40=12%,D40*H40,0)</f>
        <v>15.25</v>
      </c>
      <c r="K40" s="52">
        <v>0</v>
      </c>
      <c r="L40" s="53">
        <v>0</v>
      </c>
      <c r="M40" s="53">
        <f>+J40*K40</f>
        <v>0</v>
      </c>
      <c r="N40" s="53">
        <f>+(J40-M40)*F40</f>
        <v>1.8299999999999998</v>
      </c>
      <c r="O40" s="53">
        <f>+J40-M40+N40</f>
        <v>17.079999999999998</v>
      </c>
      <c r="P40" s="7" t="s">
        <v>45</v>
      </c>
      <c r="Q40" s="9" t="s">
        <v>46</v>
      </c>
      <c r="R40" s="7" t="s">
        <v>45</v>
      </c>
    </row>
    <row r="41" spans="1:18" x14ac:dyDescent="0.25">
      <c r="B41" s="2" t="s">
        <v>27</v>
      </c>
      <c r="C41" s="3" t="s">
        <v>28</v>
      </c>
      <c r="D41" s="9"/>
      <c r="E41" s="9"/>
      <c r="F41" s="9"/>
      <c r="G41" s="9"/>
      <c r="H41" s="10"/>
      <c r="I41" s="10"/>
      <c r="J41" s="10"/>
      <c r="K41" s="10"/>
      <c r="L41" s="9"/>
      <c r="M41" s="10"/>
      <c r="N41" s="10"/>
      <c r="O41" s="11"/>
      <c r="P41" s="7"/>
      <c r="Q41" s="9"/>
      <c r="R41" s="7"/>
    </row>
    <row r="42" spans="1:18" x14ac:dyDescent="0.25">
      <c r="B42" s="2" t="s">
        <v>29</v>
      </c>
      <c r="C42" s="3">
        <v>1</v>
      </c>
      <c r="D42" s="9"/>
      <c r="E42" s="9"/>
      <c r="F42" s="9"/>
      <c r="G42" s="9"/>
      <c r="H42" s="10"/>
      <c r="I42" s="10"/>
      <c r="J42" s="10"/>
      <c r="K42" s="10"/>
      <c r="L42" s="9"/>
      <c r="M42" s="10"/>
      <c r="N42" s="10"/>
      <c r="O42" s="11"/>
      <c r="P42" s="9"/>
      <c r="Q42" s="9"/>
      <c r="R42" s="7"/>
    </row>
    <row r="43" spans="1:18" ht="15.75" thickBot="1" x14ac:dyDescent="0.3">
      <c r="B43" s="2" t="s">
        <v>30</v>
      </c>
      <c r="C43" s="37">
        <v>1120335551</v>
      </c>
      <c r="D43" s="39" t="s">
        <v>34</v>
      </c>
      <c r="E43" s="40">
        <f>+SUM(I37:I40)</f>
        <v>0</v>
      </c>
      <c r="F43" s="23"/>
      <c r="G43" s="23"/>
      <c r="H43" s="41"/>
      <c r="I43" s="41"/>
      <c r="J43" s="41"/>
      <c r="K43" s="41"/>
      <c r="L43" s="23"/>
      <c r="M43" s="41"/>
      <c r="N43" s="41"/>
      <c r="O43" s="42"/>
      <c r="P43" s="23"/>
      <c r="Q43" s="23"/>
      <c r="R43" s="22"/>
    </row>
    <row r="44" spans="1:18" ht="15.75" thickBot="1" x14ac:dyDescent="0.3">
      <c r="B44" s="2" t="s">
        <v>31</v>
      </c>
      <c r="C44" s="38">
        <v>43497</v>
      </c>
      <c r="D44" s="16" t="s">
        <v>36</v>
      </c>
      <c r="E44" s="17">
        <f>+SUM(J37:J42)</f>
        <v>424.4316</v>
      </c>
      <c r="F44" s="23"/>
      <c r="G44" s="23"/>
      <c r="H44" s="41"/>
      <c r="I44" s="41"/>
      <c r="J44" s="41"/>
      <c r="K44" s="41"/>
      <c r="L44" s="23"/>
      <c r="M44" s="41"/>
      <c r="N44" s="41"/>
      <c r="O44" s="42"/>
      <c r="P44" s="23"/>
      <c r="Q44" s="23"/>
      <c r="R44" s="22"/>
    </row>
    <row r="45" spans="1:18" ht="15.75" thickBot="1" x14ac:dyDescent="0.3">
      <c r="B45" s="2" t="s">
        <v>32</v>
      </c>
      <c r="C45" s="15" t="s">
        <v>33</v>
      </c>
      <c r="D45" s="16" t="s">
        <v>39</v>
      </c>
      <c r="E45" s="17">
        <f>SUM(M37:M42)</f>
        <v>0</v>
      </c>
      <c r="F45" s="23"/>
    </row>
    <row r="46" spans="1:18" ht="15.75" thickBot="1" x14ac:dyDescent="0.3">
      <c r="B46" s="2" t="s">
        <v>35</v>
      </c>
      <c r="C46" s="15" t="s">
        <v>33</v>
      </c>
      <c r="D46" s="16" t="s">
        <v>14</v>
      </c>
      <c r="E46" s="17">
        <f>SUM(N37:N42)</f>
        <v>50.931791999999994</v>
      </c>
      <c r="F46" s="23"/>
    </row>
    <row r="47" spans="1:18" ht="15.75" thickBot="1" x14ac:dyDescent="0.3">
      <c r="B47" s="2" t="s">
        <v>37</v>
      </c>
      <c r="C47" s="15" t="s">
        <v>157</v>
      </c>
      <c r="D47" s="16" t="s">
        <v>15</v>
      </c>
      <c r="E47" s="17">
        <f>SUM(O37:O42)</f>
        <v>475.36339199999992</v>
      </c>
      <c r="F47" s="23"/>
    </row>
    <row r="48" spans="1:18" x14ac:dyDescent="0.25">
      <c r="B48" s="18"/>
      <c r="C48" s="18"/>
    </row>
    <row r="49" spans="1:18" x14ac:dyDescent="0.25">
      <c r="B49" s="18"/>
      <c r="C49" s="18"/>
    </row>
    <row r="50" spans="1:18" x14ac:dyDescent="0.25">
      <c r="B50" s="114" t="s">
        <v>47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</row>
    <row r="51" spans="1:18" x14ac:dyDescent="0.25">
      <c r="B51" s="2" t="s">
        <v>48</v>
      </c>
      <c r="C51" s="15" t="s">
        <v>33</v>
      </c>
      <c r="D51" s="19" t="s">
        <v>16</v>
      </c>
      <c r="E51" s="115" t="s">
        <v>152</v>
      </c>
      <c r="F51" s="116"/>
      <c r="G51" s="47" t="s">
        <v>150</v>
      </c>
      <c r="H51" s="117" t="s">
        <v>49</v>
      </c>
      <c r="I51" s="118"/>
      <c r="J51" s="117" t="s">
        <v>151</v>
      </c>
      <c r="K51" s="118"/>
      <c r="L51" s="5" t="s">
        <v>50</v>
      </c>
      <c r="M51" s="5" t="s">
        <v>51</v>
      </c>
      <c r="N51" s="117" t="s">
        <v>155</v>
      </c>
      <c r="O51" s="118"/>
    </row>
    <row r="52" spans="1:18" x14ac:dyDescent="0.25">
      <c r="B52" s="2" t="s">
        <v>52</v>
      </c>
      <c r="C52" s="15" t="s">
        <v>33</v>
      </c>
      <c r="D52" s="9" t="s">
        <v>169</v>
      </c>
      <c r="E52" s="119" t="s">
        <v>170</v>
      </c>
      <c r="F52" s="119"/>
      <c r="G52" s="48">
        <v>725</v>
      </c>
      <c r="H52" s="120" t="s">
        <v>14</v>
      </c>
      <c r="I52" s="121"/>
      <c r="J52" s="122">
        <v>0.3</v>
      </c>
      <c r="K52" s="123"/>
      <c r="L52" s="54">
        <f>+E46*J52</f>
        <v>15.279537599999998</v>
      </c>
      <c r="M52" s="131">
        <f>+L52+L53</f>
        <v>49.234065600000001</v>
      </c>
      <c r="N52" s="133">
        <f>+E47-M52</f>
        <v>426.12932639999991</v>
      </c>
      <c r="O52" s="134"/>
    </row>
    <row r="53" spans="1:18" x14ac:dyDescent="0.25">
      <c r="B53" s="2" t="s">
        <v>53</v>
      </c>
      <c r="C53" s="15" t="s">
        <v>54</v>
      </c>
      <c r="D53" s="9" t="s">
        <v>171</v>
      </c>
      <c r="E53" s="119" t="s">
        <v>172</v>
      </c>
      <c r="F53" s="119"/>
      <c r="G53" s="48">
        <v>320</v>
      </c>
      <c r="H53" s="120" t="s">
        <v>153</v>
      </c>
      <c r="I53" s="121"/>
      <c r="J53" s="122">
        <v>0.08</v>
      </c>
      <c r="K53" s="123"/>
      <c r="L53" s="54">
        <f>(E44+E43-E45)*J53</f>
        <v>33.954528000000003</v>
      </c>
      <c r="M53" s="132"/>
      <c r="N53" s="135"/>
      <c r="O53" s="136"/>
    </row>
    <row r="54" spans="1:18" x14ac:dyDescent="0.25">
      <c r="B54" s="2" t="s">
        <v>55</v>
      </c>
      <c r="C54" s="3" t="str">
        <f>+CONCATENATE(C45,"-",C46,"-",C47)</f>
        <v>001-001-101</v>
      </c>
    </row>
    <row r="55" spans="1:18" x14ac:dyDescent="0.25">
      <c r="B55" s="2" t="s">
        <v>57</v>
      </c>
      <c r="C55" s="21">
        <f>+C44</f>
        <v>43497</v>
      </c>
    </row>
    <row r="56" spans="1:18" x14ac:dyDescent="0.25">
      <c r="B56" s="2" t="s">
        <v>86</v>
      </c>
      <c r="C56" s="21" t="s">
        <v>87</v>
      </c>
      <c r="D56" s="22"/>
      <c r="E56" s="28" t="s">
        <v>279</v>
      </c>
      <c r="F56" s="23"/>
      <c r="G56" s="23"/>
      <c r="H56" s="23"/>
      <c r="I56" s="23"/>
      <c r="J56" s="24"/>
      <c r="K56" s="24"/>
      <c r="L56" s="25"/>
      <c r="M56" s="26"/>
      <c r="N56" s="22"/>
      <c r="O56" s="22"/>
    </row>
    <row r="57" spans="1:18" x14ac:dyDescent="0.25">
      <c r="B57" s="2" t="s">
        <v>59</v>
      </c>
      <c r="C57" s="21" t="s">
        <v>88</v>
      </c>
      <c r="D57" s="22"/>
      <c r="E57" s="28" t="s">
        <v>330</v>
      </c>
      <c r="F57" s="23"/>
      <c r="G57" s="23"/>
      <c r="H57" s="23"/>
      <c r="I57" s="23"/>
      <c r="J57" s="24"/>
      <c r="K57" s="24"/>
      <c r="L57" s="25"/>
      <c r="M57" s="26"/>
      <c r="N57" s="22"/>
      <c r="O57" s="22"/>
    </row>
    <row r="58" spans="1:18" x14ac:dyDescent="0.25">
      <c r="B58" s="2" t="s">
        <v>60</v>
      </c>
      <c r="C58" s="21" t="s">
        <v>89</v>
      </c>
      <c r="D58" s="22"/>
      <c r="E58" s="23"/>
      <c r="F58" s="23"/>
      <c r="G58" s="23"/>
      <c r="H58" s="23"/>
      <c r="I58" s="23"/>
      <c r="J58" s="24"/>
      <c r="K58" s="24"/>
      <c r="L58" s="25"/>
      <c r="M58" s="26"/>
      <c r="N58" s="22"/>
      <c r="O58" s="22"/>
    </row>
    <row r="59" spans="1:18" x14ac:dyDescent="0.25">
      <c r="B59" s="2" t="s">
        <v>61</v>
      </c>
      <c r="C59" s="27">
        <f>+E47-M52</f>
        <v>426.12932639999991</v>
      </c>
      <c r="D59" s="22"/>
      <c r="E59" s="28"/>
      <c r="G59" s="23"/>
      <c r="H59" s="23"/>
      <c r="I59" s="24"/>
      <c r="J59" s="24"/>
      <c r="K59" s="25"/>
      <c r="L59" s="26"/>
      <c r="M59" s="22"/>
      <c r="N59" s="22"/>
    </row>
    <row r="60" spans="1:18" x14ac:dyDescent="0.25">
      <c r="B60" s="2" t="s">
        <v>344</v>
      </c>
      <c r="C60" s="27" t="s">
        <v>345</v>
      </c>
    </row>
    <row r="62" spans="1:18" ht="26.25" x14ac:dyDescent="0.4">
      <c r="A62" s="34" t="s">
        <v>3</v>
      </c>
      <c r="B62" s="34" t="s">
        <v>94</v>
      </c>
      <c r="C62" s="1" t="s">
        <v>63</v>
      </c>
    </row>
    <row r="63" spans="1:18" x14ac:dyDescent="0.25">
      <c r="B63" s="112" t="s">
        <v>5</v>
      </c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</row>
    <row r="64" spans="1:18" x14ac:dyDescent="0.25">
      <c r="B64" s="2" t="s">
        <v>6</v>
      </c>
      <c r="C64" s="3" t="s">
        <v>7</v>
      </c>
      <c r="D64" s="4" t="s">
        <v>8</v>
      </c>
      <c r="E64" s="5" t="s">
        <v>9</v>
      </c>
      <c r="F64" s="5" t="s">
        <v>14</v>
      </c>
      <c r="G64" s="5" t="s">
        <v>10</v>
      </c>
      <c r="H64" s="5" t="s">
        <v>11</v>
      </c>
      <c r="I64" s="5" t="s">
        <v>148</v>
      </c>
      <c r="J64" s="5" t="s">
        <v>149</v>
      </c>
      <c r="K64" s="5" t="s">
        <v>12</v>
      </c>
      <c r="L64" s="5" t="s">
        <v>13</v>
      </c>
      <c r="M64" s="5" t="s">
        <v>40</v>
      </c>
      <c r="N64" s="5" t="s">
        <v>14</v>
      </c>
      <c r="O64" s="5" t="s">
        <v>15</v>
      </c>
      <c r="P64" s="5" t="s">
        <v>16</v>
      </c>
      <c r="Q64" s="5" t="s">
        <v>17</v>
      </c>
      <c r="R64" s="5" t="s">
        <v>18</v>
      </c>
    </row>
    <row r="65" spans="2:18" x14ac:dyDescent="0.25">
      <c r="B65" s="2" t="s">
        <v>19</v>
      </c>
      <c r="C65" s="6" t="s">
        <v>20</v>
      </c>
      <c r="D65" s="9">
        <v>61</v>
      </c>
      <c r="E65" s="9" t="s">
        <v>41</v>
      </c>
      <c r="F65" s="43">
        <v>0.12</v>
      </c>
      <c r="G65" s="7" t="s">
        <v>104</v>
      </c>
      <c r="H65" s="51">
        <v>1.45</v>
      </c>
      <c r="I65" s="51">
        <f>+IF(F65=0%,D65*H65,0)</f>
        <v>0</v>
      </c>
      <c r="J65" s="51">
        <f>+IF(F65=12%,D65*H65,0)</f>
        <v>88.45</v>
      </c>
      <c r="K65" s="52">
        <v>0</v>
      </c>
      <c r="L65" s="53">
        <v>0</v>
      </c>
      <c r="M65" s="53">
        <f>+J65*K65</f>
        <v>0</v>
      </c>
      <c r="N65" s="53">
        <f>+(J65-M65)*F65</f>
        <v>10.614000000000001</v>
      </c>
      <c r="O65" s="53">
        <f>+J65-M65+N65</f>
        <v>99.064000000000007</v>
      </c>
      <c r="P65" s="7" t="s">
        <v>45</v>
      </c>
      <c r="Q65" s="7" t="s">
        <v>46</v>
      </c>
      <c r="R65" s="7" t="s">
        <v>45</v>
      </c>
    </row>
    <row r="66" spans="2:18" x14ac:dyDescent="0.25">
      <c r="B66" s="2" t="s">
        <v>21</v>
      </c>
      <c r="C66" s="15" t="s">
        <v>22</v>
      </c>
      <c r="D66" s="9">
        <v>56.21</v>
      </c>
      <c r="E66" s="9" t="s">
        <v>42</v>
      </c>
      <c r="F66" s="43">
        <v>0.12</v>
      </c>
      <c r="G66" s="7" t="s">
        <v>106</v>
      </c>
      <c r="H66" s="51">
        <v>2.96</v>
      </c>
      <c r="I66" s="51">
        <f>+IF(F66=0%,D66*H66,0)</f>
        <v>0</v>
      </c>
      <c r="J66" s="51">
        <f>+IF(F66=12%,D66*H66,0)</f>
        <v>166.38159999999999</v>
      </c>
      <c r="K66" s="52">
        <v>0</v>
      </c>
      <c r="L66" s="53">
        <v>0</v>
      </c>
      <c r="M66" s="53">
        <f>+J66*K66</f>
        <v>0</v>
      </c>
      <c r="N66" s="53">
        <f>+(J66-M66)*F66</f>
        <v>19.965791999999997</v>
      </c>
      <c r="O66" s="53">
        <f>+J66-M66+N66</f>
        <v>186.34739199999999</v>
      </c>
      <c r="P66" s="7" t="s">
        <v>45</v>
      </c>
      <c r="Q66" s="9" t="s">
        <v>46</v>
      </c>
      <c r="R66" s="7" t="s">
        <v>45</v>
      </c>
    </row>
    <row r="67" spans="2:18" ht="30" x14ac:dyDescent="0.25">
      <c r="B67" s="2" t="s">
        <v>23</v>
      </c>
      <c r="C67" s="30" t="s">
        <v>70</v>
      </c>
      <c r="D67" s="13">
        <v>49</v>
      </c>
      <c r="E67" s="9" t="s">
        <v>43</v>
      </c>
      <c r="F67" s="43">
        <v>0.12</v>
      </c>
      <c r="G67" s="7" t="s">
        <v>108</v>
      </c>
      <c r="H67" s="51">
        <v>3.15</v>
      </c>
      <c r="I67" s="51">
        <f>+IF(F67=0%,D67*H67,0)</f>
        <v>0</v>
      </c>
      <c r="J67" s="51">
        <f>+IF(F67=12%,D67*H67,0)</f>
        <v>154.35</v>
      </c>
      <c r="K67" s="52">
        <v>0</v>
      </c>
      <c r="L67" s="53">
        <v>0</v>
      </c>
      <c r="M67" s="53">
        <f>+J67*K67</f>
        <v>0</v>
      </c>
      <c r="N67" s="53">
        <f>+(J67-M67)*F67</f>
        <v>18.521999999999998</v>
      </c>
      <c r="O67" s="53">
        <f>+J67-M67+N67</f>
        <v>172.87199999999999</v>
      </c>
      <c r="P67" s="7" t="s">
        <v>45</v>
      </c>
      <c r="Q67" s="9" t="s">
        <v>46</v>
      </c>
      <c r="R67" s="7" t="s">
        <v>45</v>
      </c>
    </row>
    <row r="68" spans="2:18" x14ac:dyDescent="0.25">
      <c r="B68" s="2" t="s">
        <v>26</v>
      </c>
      <c r="C68" s="12" t="s">
        <v>71</v>
      </c>
      <c r="D68" s="13">
        <v>12.2</v>
      </c>
      <c r="E68" s="9" t="s">
        <v>44</v>
      </c>
      <c r="F68" s="43">
        <v>0.12</v>
      </c>
      <c r="G68" s="7" t="s">
        <v>110</v>
      </c>
      <c r="H68" s="51">
        <v>1.25</v>
      </c>
      <c r="I68" s="51">
        <f>+IF(F68=0%,D68*H68,0)</f>
        <v>0</v>
      </c>
      <c r="J68" s="51">
        <f>+IF(F68=12%,D68*H68,0)</f>
        <v>15.25</v>
      </c>
      <c r="K68" s="52">
        <v>0</v>
      </c>
      <c r="L68" s="53">
        <v>0</v>
      </c>
      <c r="M68" s="53">
        <f>+J68*K68</f>
        <v>0</v>
      </c>
      <c r="N68" s="53">
        <f>+(J68-M68)*F68</f>
        <v>1.8299999999999998</v>
      </c>
      <c r="O68" s="53">
        <f>+J68-M68+N68</f>
        <v>17.079999999999998</v>
      </c>
      <c r="P68" s="7" t="s">
        <v>45</v>
      </c>
      <c r="Q68" s="9" t="s">
        <v>46</v>
      </c>
      <c r="R68" s="7" t="s">
        <v>45</v>
      </c>
    </row>
    <row r="69" spans="2:18" x14ac:dyDescent="0.25">
      <c r="B69" s="2" t="s">
        <v>27</v>
      </c>
      <c r="C69" s="3" t="s">
        <v>28</v>
      </c>
      <c r="D69" s="13"/>
      <c r="E69" s="9"/>
      <c r="F69" s="9"/>
      <c r="G69" s="9"/>
      <c r="H69" s="10"/>
      <c r="I69" s="10"/>
      <c r="J69" s="10"/>
      <c r="K69" s="10"/>
      <c r="L69" s="9"/>
      <c r="M69" s="10"/>
      <c r="N69" s="10"/>
      <c r="O69" s="11"/>
      <c r="P69" s="7"/>
      <c r="Q69" s="9"/>
      <c r="R69" s="7"/>
    </row>
    <row r="70" spans="2:18" ht="15.75" thickBot="1" x14ac:dyDescent="0.3">
      <c r="B70" s="2" t="s">
        <v>29</v>
      </c>
      <c r="C70" s="3">
        <v>1</v>
      </c>
      <c r="D70" s="13"/>
      <c r="E70" s="9"/>
      <c r="F70" s="9"/>
      <c r="G70" s="9"/>
      <c r="H70" s="10"/>
      <c r="I70" s="10"/>
      <c r="J70" s="10"/>
      <c r="K70" s="10"/>
      <c r="L70" s="9"/>
      <c r="M70" s="10"/>
      <c r="N70" s="10"/>
      <c r="O70" s="11"/>
      <c r="P70" s="9"/>
      <c r="Q70" s="9"/>
      <c r="R70" s="7"/>
    </row>
    <row r="71" spans="2:18" ht="15.75" thickBot="1" x14ac:dyDescent="0.3">
      <c r="B71" s="2" t="s">
        <v>30</v>
      </c>
      <c r="C71" s="7">
        <v>1120335551</v>
      </c>
      <c r="D71" s="16" t="s">
        <v>34</v>
      </c>
      <c r="E71" s="40">
        <f>+SUM(I65:I68)</f>
        <v>0</v>
      </c>
    </row>
    <row r="72" spans="2:18" ht="15.75" thickBot="1" x14ac:dyDescent="0.3">
      <c r="B72" s="2" t="s">
        <v>31</v>
      </c>
      <c r="C72" s="14">
        <v>43497</v>
      </c>
      <c r="D72" s="16" t="s">
        <v>36</v>
      </c>
      <c r="E72" s="17">
        <f>+SUM(J65:J70)</f>
        <v>424.4316</v>
      </c>
    </row>
    <row r="73" spans="2:18" ht="15.75" thickBot="1" x14ac:dyDescent="0.3">
      <c r="B73" s="2" t="s">
        <v>32</v>
      </c>
      <c r="C73" s="15" t="s">
        <v>33</v>
      </c>
      <c r="D73" s="16" t="s">
        <v>39</v>
      </c>
      <c r="E73" s="17">
        <f>SUM(M65:M70)</f>
        <v>0</v>
      </c>
    </row>
    <row r="74" spans="2:18" ht="15.75" thickBot="1" x14ac:dyDescent="0.3">
      <c r="B74" s="2" t="s">
        <v>35</v>
      </c>
      <c r="C74" s="15" t="s">
        <v>33</v>
      </c>
      <c r="D74" s="16" t="s">
        <v>14</v>
      </c>
      <c r="E74" s="17">
        <f>SUM(N65:N70)</f>
        <v>50.931791999999994</v>
      </c>
    </row>
    <row r="75" spans="2:18" ht="15.75" thickBot="1" x14ac:dyDescent="0.3">
      <c r="B75" s="2" t="s">
        <v>37</v>
      </c>
      <c r="C75" s="15" t="s">
        <v>158</v>
      </c>
      <c r="D75" s="16" t="s">
        <v>15</v>
      </c>
      <c r="E75" s="17">
        <f>SUM(O65:O70)</f>
        <v>475.36339199999992</v>
      </c>
    </row>
    <row r="76" spans="2:18" x14ac:dyDescent="0.25">
      <c r="B76" s="18"/>
      <c r="C76" s="18"/>
    </row>
    <row r="78" spans="2:18" x14ac:dyDescent="0.25">
      <c r="B78" s="114" t="s">
        <v>47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</row>
    <row r="79" spans="2:18" x14ac:dyDescent="0.25">
      <c r="B79" s="2" t="s">
        <v>48</v>
      </c>
      <c r="C79" s="15" t="s">
        <v>33</v>
      </c>
      <c r="D79" s="19" t="s">
        <v>16</v>
      </c>
      <c r="E79" s="115" t="s">
        <v>152</v>
      </c>
      <c r="F79" s="116"/>
      <c r="G79" s="47" t="s">
        <v>150</v>
      </c>
      <c r="H79" s="117" t="s">
        <v>49</v>
      </c>
      <c r="I79" s="118"/>
      <c r="J79" s="117" t="s">
        <v>151</v>
      </c>
      <c r="K79" s="118"/>
      <c r="L79" s="5" t="s">
        <v>50</v>
      </c>
      <c r="M79" s="5" t="s">
        <v>51</v>
      </c>
      <c r="N79" s="117" t="s">
        <v>155</v>
      </c>
      <c r="O79" s="118"/>
    </row>
    <row r="80" spans="2:18" x14ac:dyDescent="0.25">
      <c r="B80" s="2" t="s">
        <v>52</v>
      </c>
      <c r="C80" s="15" t="s">
        <v>33</v>
      </c>
      <c r="D80" s="9" t="s">
        <v>179</v>
      </c>
      <c r="E80" s="119" t="s">
        <v>180</v>
      </c>
      <c r="F80" s="119"/>
      <c r="G80" s="48">
        <v>727</v>
      </c>
      <c r="H80" s="120" t="s">
        <v>14</v>
      </c>
      <c r="I80" s="121"/>
      <c r="J80" s="122">
        <v>0.5</v>
      </c>
      <c r="K80" s="123"/>
      <c r="L80" s="20">
        <f>+E74*J80</f>
        <v>25.465895999999997</v>
      </c>
      <c r="M80" s="124">
        <f>+L80+L81</f>
        <v>33.954527999999996</v>
      </c>
      <c r="N80" s="126">
        <f>+E75-M80</f>
        <v>441.40886399999994</v>
      </c>
      <c r="O80" s="127"/>
    </row>
    <row r="81" spans="1:18" x14ac:dyDescent="0.25">
      <c r="B81" s="2" t="s">
        <v>53</v>
      </c>
      <c r="C81" s="15" t="s">
        <v>163</v>
      </c>
      <c r="D81" s="9" t="s">
        <v>175</v>
      </c>
      <c r="E81" s="119" t="s">
        <v>176</v>
      </c>
      <c r="F81" s="119"/>
      <c r="G81" s="48">
        <v>344</v>
      </c>
      <c r="H81" s="120" t="s">
        <v>153</v>
      </c>
      <c r="I81" s="121"/>
      <c r="J81" s="122">
        <v>0.02</v>
      </c>
      <c r="K81" s="123"/>
      <c r="L81" s="20">
        <f>(E72+E71-E73)*J81</f>
        <v>8.4886320000000008</v>
      </c>
      <c r="M81" s="125"/>
      <c r="N81" s="128"/>
      <c r="O81" s="129"/>
    </row>
    <row r="82" spans="1:18" x14ac:dyDescent="0.25">
      <c r="B82" s="2" t="s">
        <v>55</v>
      </c>
      <c r="C82" s="3" t="str">
        <f>+CONCATENATE(C73,"-",C74,"-",C75)</f>
        <v>001-001-102</v>
      </c>
    </row>
    <row r="83" spans="1:18" x14ac:dyDescent="0.25">
      <c r="B83" s="2" t="s">
        <v>57</v>
      </c>
      <c r="C83" s="21">
        <f>+C72</f>
        <v>43497</v>
      </c>
    </row>
    <row r="84" spans="1:18" x14ac:dyDescent="0.25">
      <c r="B84" s="2" t="s">
        <v>86</v>
      </c>
      <c r="C84" s="21" t="s">
        <v>87</v>
      </c>
      <c r="E84" s="28" t="s">
        <v>279</v>
      </c>
    </row>
    <row r="85" spans="1:18" x14ac:dyDescent="0.25">
      <c r="B85" s="2" t="s">
        <v>59</v>
      </c>
      <c r="C85" s="21" t="s">
        <v>90</v>
      </c>
      <c r="E85" s="109" t="s">
        <v>330</v>
      </c>
    </row>
    <row r="86" spans="1:18" x14ac:dyDescent="0.25">
      <c r="B86" s="2" t="s">
        <v>60</v>
      </c>
      <c r="C86" s="21" t="s">
        <v>91</v>
      </c>
    </row>
    <row r="87" spans="1:18" x14ac:dyDescent="0.25">
      <c r="B87" s="2" t="s">
        <v>61</v>
      </c>
      <c r="C87" s="27">
        <f>+E75-M80</f>
        <v>441.40886399999994</v>
      </c>
    </row>
    <row r="88" spans="1:18" x14ac:dyDescent="0.25">
      <c r="B88" s="2" t="s">
        <v>344</v>
      </c>
      <c r="C88" s="27" t="s">
        <v>345</v>
      </c>
    </row>
    <row r="90" spans="1:18" ht="26.25" x14ac:dyDescent="0.4">
      <c r="A90" s="34" t="s">
        <v>3</v>
      </c>
      <c r="B90" s="34" t="s">
        <v>140</v>
      </c>
      <c r="C90" s="1" t="s">
        <v>64</v>
      </c>
    </row>
    <row r="91" spans="1:18" x14ac:dyDescent="0.25">
      <c r="B91" s="112" t="s">
        <v>5</v>
      </c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</row>
    <row r="92" spans="1:18" x14ac:dyDescent="0.25">
      <c r="B92" s="2" t="s">
        <v>6</v>
      </c>
      <c r="C92" s="3" t="s">
        <v>67</v>
      </c>
      <c r="D92" s="4" t="s">
        <v>8</v>
      </c>
      <c r="E92" s="5" t="s">
        <v>9</v>
      </c>
      <c r="F92" s="5" t="s">
        <v>14</v>
      </c>
      <c r="G92" s="5" t="s">
        <v>10</v>
      </c>
      <c r="H92" s="5" t="s">
        <v>11</v>
      </c>
      <c r="I92" s="5" t="s">
        <v>148</v>
      </c>
      <c r="J92" s="5" t="s">
        <v>149</v>
      </c>
      <c r="K92" s="5" t="s">
        <v>12</v>
      </c>
      <c r="L92" s="5" t="s">
        <v>13</v>
      </c>
      <c r="M92" s="5" t="s">
        <v>40</v>
      </c>
      <c r="N92" s="5" t="s">
        <v>14</v>
      </c>
      <c r="O92" s="5" t="s">
        <v>15</v>
      </c>
      <c r="P92" s="5" t="s">
        <v>16</v>
      </c>
      <c r="Q92" s="5" t="s">
        <v>17</v>
      </c>
      <c r="R92" s="5" t="s">
        <v>18</v>
      </c>
    </row>
    <row r="93" spans="1:18" x14ac:dyDescent="0.25">
      <c r="B93" s="2" t="s">
        <v>19</v>
      </c>
      <c r="C93" s="15" t="s">
        <v>68</v>
      </c>
      <c r="D93" s="7">
        <v>118.47</v>
      </c>
      <c r="E93" s="9" t="s">
        <v>95</v>
      </c>
      <c r="F93" s="43">
        <v>0.12</v>
      </c>
      <c r="G93" s="35" t="s">
        <v>99</v>
      </c>
      <c r="H93" s="51">
        <v>1.47</v>
      </c>
      <c r="I93" s="51">
        <f>+IF(F93=0%,D93*H93,0)</f>
        <v>0</v>
      </c>
      <c r="J93" s="51">
        <f>+IF(F93=12%,D93*H93,0)</f>
        <v>174.15090000000001</v>
      </c>
      <c r="K93" s="52">
        <v>0</v>
      </c>
      <c r="L93" s="53">
        <v>0</v>
      </c>
      <c r="M93" s="53">
        <f>+J93*K93</f>
        <v>0</v>
      </c>
      <c r="N93" s="53">
        <f>+(J93-M93)*F93</f>
        <v>20.898108000000001</v>
      </c>
      <c r="O93" s="53">
        <f>+J93-M93+N93</f>
        <v>195.04900800000001</v>
      </c>
      <c r="P93" s="7" t="s">
        <v>45</v>
      </c>
      <c r="Q93" s="7" t="s">
        <v>46</v>
      </c>
      <c r="R93" s="7" t="s">
        <v>45</v>
      </c>
    </row>
    <row r="94" spans="1:18" x14ac:dyDescent="0.25">
      <c r="B94" s="2" t="s">
        <v>21</v>
      </c>
      <c r="C94" s="15" t="s">
        <v>22</v>
      </c>
      <c r="D94" s="7">
        <v>249.58</v>
      </c>
      <c r="E94" s="9" t="s">
        <v>96</v>
      </c>
      <c r="F94" s="43">
        <v>0.12</v>
      </c>
      <c r="G94" s="35" t="s">
        <v>100</v>
      </c>
      <c r="H94" s="51">
        <v>2.96</v>
      </c>
      <c r="I94" s="51">
        <f>+IF(F94=0%,D94*H94,0)</f>
        <v>0</v>
      </c>
      <c r="J94" s="51">
        <f>+IF(F94=12%,D94*H94,0)</f>
        <v>738.7568</v>
      </c>
      <c r="K94" s="52">
        <v>0</v>
      </c>
      <c r="L94" s="53">
        <v>0</v>
      </c>
      <c r="M94" s="53">
        <f>+J94*K94</f>
        <v>0</v>
      </c>
      <c r="N94" s="53">
        <f>+(J94-M94)*F94</f>
        <v>88.650815999999992</v>
      </c>
      <c r="O94" s="53">
        <f>+J94-M94+N94</f>
        <v>827.40761599999996</v>
      </c>
      <c r="P94" s="7" t="s">
        <v>45</v>
      </c>
      <c r="Q94" s="9" t="s">
        <v>46</v>
      </c>
      <c r="R94" s="7" t="s">
        <v>45</v>
      </c>
    </row>
    <row r="95" spans="1:18" ht="30" x14ac:dyDescent="0.25">
      <c r="B95" s="2" t="s">
        <v>23</v>
      </c>
      <c r="C95" s="30" t="s">
        <v>70</v>
      </c>
      <c r="D95" s="7">
        <v>73.540000000000006</v>
      </c>
      <c r="E95" s="9" t="s">
        <v>97</v>
      </c>
      <c r="F95" s="43">
        <v>0.12</v>
      </c>
      <c r="G95" s="35" t="s">
        <v>101</v>
      </c>
      <c r="H95" s="51">
        <v>3.15</v>
      </c>
      <c r="I95" s="51">
        <f>+IF(F95=0%,D95*H95,0)</f>
        <v>0</v>
      </c>
      <c r="J95" s="51">
        <f>+IF(F95=12%,D95*H95,0)</f>
        <v>231.65100000000001</v>
      </c>
      <c r="K95" s="52">
        <v>0</v>
      </c>
      <c r="L95" s="53">
        <v>0</v>
      </c>
      <c r="M95" s="53">
        <f>+J95*K95</f>
        <v>0</v>
      </c>
      <c r="N95" s="53">
        <f>+(J95-M95)*F95</f>
        <v>27.798120000000001</v>
      </c>
      <c r="O95" s="53">
        <f>+J95-M95+N95</f>
        <v>259.44911999999999</v>
      </c>
      <c r="P95" s="7" t="s">
        <v>45</v>
      </c>
      <c r="Q95" s="9" t="s">
        <v>46</v>
      </c>
      <c r="R95" s="7" t="s">
        <v>45</v>
      </c>
    </row>
    <row r="96" spans="1:18" x14ac:dyDescent="0.25">
      <c r="B96" s="2" t="s">
        <v>26</v>
      </c>
      <c r="C96" s="12" t="s">
        <v>71</v>
      </c>
      <c r="D96" s="7">
        <v>29</v>
      </c>
      <c r="E96" s="9" t="s">
        <v>98</v>
      </c>
      <c r="F96" s="43">
        <v>0.12</v>
      </c>
      <c r="G96" s="35" t="s">
        <v>102</v>
      </c>
      <c r="H96" s="51">
        <v>1.25</v>
      </c>
      <c r="I96" s="51">
        <f>+IF(F96=0%,D96*H96,0)</f>
        <v>0</v>
      </c>
      <c r="J96" s="51">
        <f>+IF(F96=12%,D96*H96,0)</f>
        <v>36.25</v>
      </c>
      <c r="K96" s="52">
        <v>0</v>
      </c>
      <c r="L96" s="53">
        <v>0</v>
      </c>
      <c r="M96" s="53">
        <f>+J96*K96</f>
        <v>0</v>
      </c>
      <c r="N96" s="53">
        <f>+(J96-M96)*F96</f>
        <v>4.3499999999999996</v>
      </c>
      <c r="O96" s="53">
        <f>+J96-M96+N96</f>
        <v>40.6</v>
      </c>
      <c r="P96" s="7" t="s">
        <v>45</v>
      </c>
      <c r="Q96" s="9" t="s">
        <v>46</v>
      </c>
      <c r="R96" s="7" t="s">
        <v>45</v>
      </c>
    </row>
    <row r="97" spans="2:18" x14ac:dyDescent="0.25">
      <c r="B97" s="2" t="s">
        <v>27</v>
      </c>
      <c r="C97" s="3" t="s">
        <v>28</v>
      </c>
      <c r="D97" s="13"/>
      <c r="E97" s="9"/>
      <c r="F97" s="9"/>
      <c r="G97" s="9"/>
      <c r="H97" s="10"/>
      <c r="I97" s="10"/>
      <c r="J97" s="10"/>
      <c r="K97" s="10"/>
      <c r="L97" s="9"/>
      <c r="M97" s="10"/>
      <c r="N97" s="10"/>
      <c r="O97" s="11"/>
      <c r="P97" s="7"/>
      <c r="Q97" s="9"/>
      <c r="R97" s="7"/>
    </row>
    <row r="98" spans="2:18" ht="15.75" thickBot="1" x14ac:dyDescent="0.3">
      <c r="B98" s="2" t="s">
        <v>29</v>
      </c>
      <c r="C98" s="3">
        <v>1</v>
      </c>
      <c r="D98" s="13"/>
      <c r="E98" s="9"/>
      <c r="F98" s="9"/>
      <c r="G98" s="9"/>
      <c r="H98" s="10"/>
      <c r="I98" s="10"/>
      <c r="J98" s="10"/>
      <c r="K98" s="10"/>
      <c r="L98" s="9"/>
      <c r="M98" s="10"/>
      <c r="N98" s="10"/>
      <c r="O98" s="11"/>
      <c r="P98" s="9"/>
      <c r="Q98" s="9"/>
      <c r="R98" s="7"/>
    </row>
    <row r="99" spans="2:18" ht="15.75" thickBot="1" x14ac:dyDescent="0.3">
      <c r="B99" s="2" t="s">
        <v>30</v>
      </c>
      <c r="C99" s="7">
        <v>1122728319</v>
      </c>
      <c r="D99" s="16" t="s">
        <v>34</v>
      </c>
      <c r="E99" s="40">
        <f>+SUM(I93:I96)</f>
        <v>0</v>
      </c>
    </row>
    <row r="100" spans="2:18" ht="15.75" thickBot="1" x14ac:dyDescent="0.3">
      <c r="B100" s="2" t="s">
        <v>31</v>
      </c>
      <c r="C100" s="14">
        <v>43498</v>
      </c>
      <c r="D100" s="16" t="s">
        <v>36</v>
      </c>
      <c r="E100" s="17">
        <f>+SUM(J93:J98)</f>
        <v>1180.8087</v>
      </c>
    </row>
    <row r="101" spans="2:18" ht="15.75" thickBot="1" x14ac:dyDescent="0.3">
      <c r="B101" s="2" t="s">
        <v>32</v>
      </c>
      <c r="C101" s="15" t="s">
        <v>33</v>
      </c>
      <c r="D101" s="16" t="s">
        <v>39</v>
      </c>
      <c r="E101" s="17">
        <f>SUM(M93:M98)</f>
        <v>0</v>
      </c>
    </row>
    <row r="102" spans="2:18" ht="15.75" thickBot="1" x14ac:dyDescent="0.3">
      <c r="B102" s="2" t="s">
        <v>35</v>
      </c>
      <c r="C102" s="15" t="s">
        <v>33</v>
      </c>
      <c r="D102" s="16" t="s">
        <v>14</v>
      </c>
      <c r="E102" s="17">
        <f>SUM(N93:N98)</f>
        <v>141.69704400000001</v>
      </c>
    </row>
    <row r="103" spans="2:18" ht="15.75" thickBot="1" x14ac:dyDescent="0.3">
      <c r="B103" s="2" t="s">
        <v>37</v>
      </c>
      <c r="C103" s="15" t="s">
        <v>159</v>
      </c>
      <c r="D103" s="16" t="s">
        <v>15</v>
      </c>
      <c r="E103" s="17">
        <f>SUM(O93:O98)</f>
        <v>1322.5057439999998</v>
      </c>
    </row>
    <row r="104" spans="2:18" x14ac:dyDescent="0.25">
      <c r="B104" s="18"/>
      <c r="C104" s="18"/>
    </row>
    <row r="105" spans="2:18" x14ac:dyDescent="0.25">
      <c r="B105" s="18"/>
      <c r="C105" s="18"/>
    </row>
    <row r="106" spans="2:18" x14ac:dyDescent="0.25">
      <c r="B106" s="114" t="s">
        <v>47</v>
      </c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</row>
    <row r="107" spans="2:18" x14ac:dyDescent="0.25">
      <c r="B107" s="2" t="s">
        <v>48</v>
      </c>
      <c r="C107" s="33" t="s">
        <v>33</v>
      </c>
      <c r="D107" s="19" t="s">
        <v>16</v>
      </c>
      <c r="E107" s="115" t="s">
        <v>152</v>
      </c>
      <c r="F107" s="116"/>
      <c r="G107" s="47" t="s">
        <v>150</v>
      </c>
      <c r="H107" s="117" t="s">
        <v>49</v>
      </c>
      <c r="I107" s="118"/>
      <c r="J107" s="117" t="s">
        <v>151</v>
      </c>
      <c r="K107" s="118"/>
      <c r="L107" s="5" t="s">
        <v>50</v>
      </c>
      <c r="M107" s="5" t="s">
        <v>51</v>
      </c>
      <c r="N107" s="117" t="s">
        <v>155</v>
      </c>
      <c r="O107" s="118"/>
    </row>
    <row r="108" spans="2:18" x14ac:dyDescent="0.25">
      <c r="B108" s="2" t="s">
        <v>52</v>
      </c>
      <c r="C108" s="15" t="s">
        <v>33</v>
      </c>
      <c r="D108" s="9" t="s">
        <v>173</v>
      </c>
      <c r="E108" s="119" t="s">
        <v>174</v>
      </c>
      <c r="F108" s="119"/>
      <c r="G108" s="48">
        <v>729</v>
      </c>
      <c r="H108" s="120" t="s">
        <v>14</v>
      </c>
      <c r="I108" s="121"/>
      <c r="J108" s="122">
        <v>0.7</v>
      </c>
      <c r="K108" s="123"/>
      <c r="L108" s="20">
        <f>+E102*J108</f>
        <v>99.187930800000004</v>
      </c>
      <c r="M108" s="124">
        <f>+L108+L109</f>
        <v>110.9960178</v>
      </c>
      <c r="N108" s="126">
        <f>+E103-M108</f>
        <v>1211.5097261999999</v>
      </c>
      <c r="O108" s="127"/>
    </row>
    <row r="109" spans="2:18" x14ac:dyDescent="0.25">
      <c r="B109" s="2" t="s">
        <v>53</v>
      </c>
      <c r="C109" s="7">
        <v>504</v>
      </c>
      <c r="D109" s="9" t="s">
        <v>165</v>
      </c>
      <c r="E109" s="119" t="s">
        <v>168</v>
      </c>
      <c r="F109" s="119"/>
      <c r="G109" s="48">
        <v>312</v>
      </c>
      <c r="H109" s="120" t="s">
        <v>153</v>
      </c>
      <c r="I109" s="121"/>
      <c r="J109" s="122">
        <v>0.01</v>
      </c>
      <c r="K109" s="123"/>
      <c r="L109" s="20">
        <f>(E100+E99-E101)*J109</f>
        <v>11.808087</v>
      </c>
      <c r="M109" s="125"/>
      <c r="N109" s="128"/>
      <c r="O109" s="129"/>
    </row>
    <row r="110" spans="2:18" x14ac:dyDescent="0.25">
      <c r="B110" s="2" t="s">
        <v>55</v>
      </c>
      <c r="C110" s="3" t="str">
        <f>+CONCATENATE(C101,"-",C102,"-",C103)</f>
        <v>001-001-103</v>
      </c>
    </row>
    <row r="111" spans="2:18" x14ac:dyDescent="0.25">
      <c r="B111" s="2" t="s">
        <v>57</v>
      </c>
      <c r="C111" s="21" t="str">
        <f>+C102</f>
        <v>001</v>
      </c>
    </row>
    <row r="112" spans="2:18" x14ac:dyDescent="0.25">
      <c r="B112" s="2" t="s">
        <v>86</v>
      </c>
      <c r="C112" s="21" t="s">
        <v>143</v>
      </c>
      <c r="E112" s="28" t="s">
        <v>279</v>
      </c>
    </row>
    <row r="113" spans="1:18" x14ac:dyDescent="0.25">
      <c r="B113" s="2" t="s">
        <v>58</v>
      </c>
      <c r="C113" s="21" t="s">
        <v>144</v>
      </c>
      <c r="E113" s="109" t="s">
        <v>330</v>
      </c>
    </row>
    <row r="114" spans="1:18" x14ac:dyDescent="0.25">
      <c r="B114" s="2" t="s">
        <v>60</v>
      </c>
      <c r="C114" s="21" t="s">
        <v>74</v>
      </c>
    </row>
    <row r="115" spans="1:18" x14ac:dyDescent="0.25">
      <c r="B115" s="2" t="s">
        <v>61</v>
      </c>
      <c r="C115" s="27">
        <f>+E103-M108</f>
        <v>1211.5097261999999</v>
      </c>
    </row>
    <row r="116" spans="1:18" x14ac:dyDescent="0.25">
      <c r="B116" s="2" t="s">
        <v>344</v>
      </c>
      <c r="C116" s="27" t="s">
        <v>345</v>
      </c>
    </row>
    <row r="118" spans="1:18" ht="26.25" x14ac:dyDescent="0.4">
      <c r="A118" s="34" t="s">
        <v>3</v>
      </c>
      <c r="B118" s="34" t="s">
        <v>142</v>
      </c>
      <c r="C118" s="1" t="s">
        <v>141</v>
      </c>
    </row>
    <row r="119" spans="1:18" x14ac:dyDescent="0.25">
      <c r="B119" s="112" t="s">
        <v>5</v>
      </c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</row>
    <row r="120" spans="1:18" x14ac:dyDescent="0.25">
      <c r="B120" s="2" t="s">
        <v>6</v>
      </c>
      <c r="C120" s="3" t="s">
        <v>67</v>
      </c>
      <c r="D120" s="4" t="s">
        <v>8</v>
      </c>
      <c r="E120" s="5" t="s">
        <v>9</v>
      </c>
      <c r="F120" s="5" t="s">
        <v>14</v>
      </c>
      <c r="G120" s="5" t="s">
        <v>10</v>
      </c>
      <c r="H120" s="5" t="s">
        <v>11</v>
      </c>
      <c r="I120" s="5" t="s">
        <v>148</v>
      </c>
      <c r="J120" s="5" t="s">
        <v>149</v>
      </c>
      <c r="K120" s="5" t="s">
        <v>12</v>
      </c>
      <c r="L120" s="5" t="s">
        <v>13</v>
      </c>
      <c r="M120" s="5" t="s">
        <v>40</v>
      </c>
      <c r="N120" s="5" t="s">
        <v>14</v>
      </c>
      <c r="O120" s="5" t="s">
        <v>15</v>
      </c>
      <c r="P120" s="5" t="s">
        <v>16</v>
      </c>
      <c r="Q120" s="5" t="s">
        <v>17</v>
      </c>
      <c r="R120" s="5" t="s">
        <v>18</v>
      </c>
    </row>
    <row r="121" spans="1:18" x14ac:dyDescent="0.25">
      <c r="B121" s="2" t="s">
        <v>19</v>
      </c>
      <c r="C121" s="15" t="s">
        <v>68</v>
      </c>
      <c r="D121" s="7">
        <v>118.47</v>
      </c>
      <c r="E121" s="9" t="s">
        <v>95</v>
      </c>
      <c r="F121" s="43">
        <v>0.12</v>
      </c>
      <c r="G121" s="35" t="s">
        <v>99</v>
      </c>
      <c r="H121" s="51">
        <v>1.47</v>
      </c>
      <c r="I121" s="51">
        <f>+IF(F121=0%,D121*H121,0)</f>
        <v>0</v>
      </c>
      <c r="J121" s="51">
        <f>+IF(F121=12%,D121*H121,0)</f>
        <v>174.15090000000001</v>
      </c>
      <c r="K121" s="52">
        <v>0</v>
      </c>
      <c r="L121" s="53">
        <v>0</v>
      </c>
      <c r="M121" s="53">
        <f>+J121*K121</f>
        <v>0</v>
      </c>
      <c r="N121" s="53">
        <f>+(J121-M121)*F121</f>
        <v>20.898108000000001</v>
      </c>
      <c r="O121" s="53">
        <f>+J121-M121+N121</f>
        <v>195.04900800000001</v>
      </c>
      <c r="P121" s="7" t="s">
        <v>45</v>
      </c>
      <c r="Q121" s="7" t="s">
        <v>46</v>
      </c>
      <c r="R121" s="7" t="s">
        <v>45</v>
      </c>
    </row>
    <row r="122" spans="1:18" x14ac:dyDescent="0.25">
      <c r="B122" s="2" t="s">
        <v>21</v>
      </c>
      <c r="C122" s="15" t="s">
        <v>22</v>
      </c>
      <c r="D122" s="7">
        <v>249.58</v>
      </c>
      <c r="E122" s="9" t="s">
        <v>96</v>
      </c>
      <c r="F122" s="43">
        <v>0.12</v>
      </c>
      <c r="G122" s="35" t="s">
        <v>100</v>
      </c>
      <c r="H122" s="51">
        <v>2.96</v>
      </c>
      <c r="I122" s="51">
        <f>+IF(F122=0%,D122*H122,0)</f>
        <v>0</v>
      </c>
      <c r="J122" s="51">
        <f>+IF(F122=12%,D122*H122,0)</f>
        <v>738.7568</v>
      </c>
      <c r="K122" s="52">
        <v>0</v>
      </c>
      <c r="L122" s="53">
        <v>0</v>
      </c>
      <c r="M122" s="53">
        <f>+J122*K122</f>
        <v>0</v>
      </c>
      <c r="N122" s="53">
        <f>+(J122-M122)*F122</f>
        <v>88.650815999999992</v>
      </c>
      <c r="O122" s="53">
        <f>+J122-M122+N122</f>
        <v>827.40761599999996</v>
      </c>
      <c r="P122" s="7" t="s">
        <v>45</v>
      </c>
      <c r="Q122" s="9" t="s">
        <v>46</v>
      </c>
      <c r="R122" s="7" t="s">
        <v>45</v>
      </c>
    </row>
    <row r="123" spans="1:18" ht="30" x14ac:dyDescent="0.25">
      <c r="B123" s="2" t="s">
        <v>23</v>
      </c>
      <c r="C123" s="30" t="s">
        <v>70</v>
      </c>
      <c r="D123" s="7">
        <v>73.540000000000006</v>
      </c>
      <c r="E123" s="9" t="s">
        <v>97</v>
      </c>
      <c r="F123" s="43">
        <v>0.12</v>
      </c>
      <c r="G123" s="35" t="s">
        <v>101</v>
      </c>
      <c r="H123" s="51">
        <v>3.15</v>
      </c>
      <c r="I123" s="51">
        <f>+IF(F123=0%,D123*H123,0)</f>
        <v>0</v>
      </c>
      <c r="J123" s="51">
        <f>+IF(F123=12%,D123*H123,0)</f>
        <v>231.65100000000001</v>
      </c>
      <c r="K123" s="52">
        <v>0</v>
      </c>
      <c r="L123" s="53">
        <v>0</v>
      </c>
      <c r="M123" s="53">
        <f>+J123*K123</f>
        <v>0</v>
      </c>
      <c r="N123" s="53">
        <f>+(J123-M123)*F123</f>
        <v>27.798120000000001</v>
      </c>
      <c r="O123" s="53">
        <f>+J123-M123+N123</f>
        <v>259.44911999999999</v>
      </c>
      <c r="P123" s="7" t="s">
        <v>45</v>
      </c>
      <c r="Q123" s="9" t="s">
        <v>46</v>
      </c>
      <c r="R123" s="7" t="s">
        <v>45</v>
      </c>
    </row>
    <row r="124" spans="1:18" x14ac:dyDescent="0.25">
      <c r="B124" s="2" t="s">
        <v>26</v>
      </c>
      <c r="C124" s="12" t="s">
        <v>71</v>
      </c>
      <c r="D124" s="7">
        <v>29</v>
      </c>
      <c r="E124" s="9" t="s">
        <v>98</v>
      </c>
      <c r="F124" s="43">
        <v>0.12</v>
      </c>
      <c r="G124" s="35" t="s">
        <v>102</v>
      </c>
      <c r="H124" s="51">
        <v>1.25</v>
      </c>
      <c r="I124" s="51">
        <f>+IF(F124=0%,D124*H124,0)</f>
        <v>0</v>
      </c>
      <c r="J124" s="51">
        <f>+IF(F124=12%,D124*H124,0)</f>
        <v>36.25</v>
      </c>
      <c r="K124" s="52">
        <v>0</v>
      </c>
      <c r="L124" s="53">
        <v>0</v>
      </c>
      <c r="M124" s="53">
        <f>+J124*K124</f>
        <v>0</v>
      </c>
      <c r="N124" s="53">
        <f>+(J124-M124)*F124</f>
        <v>4.3499999999999996</v>
      </c>
      <c r="O124" s="53">
        <f>+J124-M124+N124</f>
        <v>40.6</v>
      </c>
      <c r="P124" s="7" t="s">
        <v>45</v>
      </c>
      <c r="Q124" s="9" t="s">
        <v>46</v>
      </c>
      <c r="R124" s="7" t="s">
        <v>45</v>
      </c>
    </row>
    <row r="125" spans="1:18" x14ac:dyDescent="0.25">
      <c r="B125" s="2" t="s">
        <v>27</v>
      </c>
      <c r="C125" s="3" t="s">
        <v>28</v>
      </c>
      <c r="D125" s="13"/>
      <c r="E125" s="9"/>
      <c r="F125" s="9"/>
      <c r="G125" s="9"/>
      <c r="H125" s="10"/>
      <c r="I125" s="10"/>
      <c r="J125" s="10"/>
      <c r="K125" s="10"/>
      <c r="L125" s="9"/>
      <c r="M125" s="10"/>
      <c r="N125" s="10"/>
      <c r="O125" s="11"/>
      <c r="P125" s="7"/>
      <c r="Q125" s="9"/>
      <c r="R125" s="7"/>
    </row>
    <row r="126" spans="1:18" ht="15.75" thickBot="1" x14ac:dyDescent="0.3">
      <c r="B126" s="2" t="s">
        <v>29</v>
      </c>
      <c r="C126" s="3">
        <v>1</v>
      </c>
      <c r="D126" s="13"/>
      <c r="E126" s="9"/>
      <c r="F126" s="9"/>
      <c r="G126" s="9"/>
      <c r="H126" s="10"/>
      <c r="I126" s="10"/>
      <c r="J126" s="10"/>
      <c r="K126" s="10"/>
      <c r="L126" s="9"/>
      <c r="M126" s="10"/>
      <c r="N126" s="10"/>
      <c r="O126" s="11"/>
      <c r="P126" s="9"/>
      <c r="Q126" s="9"/>
      <c r="R126" s="7"/>
    </row>
    <row r="127" spans="1:18" ht="15.75" thickBot="1" x14ac:dyDescent="0.3">
      <c r="B127" s="2" t="s">
        <v>30</v>
      </c>
      <c r="C127" s="7">
        <v>1122728319</v>
      </c>
      <c r="D127" s="16" t="s">
        <v>34</v>
      </c>
      <c r="E127" s="40">
        <f>+SUM(I121:I124)</f>
        <v>0</v>
      </c>
    </row>
    <row r="128" spans="1:18" ht="15.75" thickBot="1" x14ac:dyDescent="0.3">
      <c r="B128" s="2" t="s">
        <v>31</v>
      </c>
      <c r="C128" s="14">
        <v>43498</v>
      </c>
      <c r="D128" s="16" t="s">
        <v>36</v>
      </c>
      <c r="E128" s="17">
        <f>+SUM(J121:J126)</f>
        <v>1180.8087</v>
      </c>
    </row>
    <row r="129" spans="2:15" ht="15.75" thickBot="1" x14ac:dyDescent="0.3">
      <c r="B129" s="2" t="s">
        <v>32</v>
      </c>
      <c r="C129" s="15" t="s">
        <v>33</v>
      </c>
      <c r="D129" s="16" t="s">
        <v>39</v>
      </c>
      <c r="E129" s="17">
        <f>SUM(M121:M126)</f>
        <v>0</v>
      </c>
    </row>
    <row r="130" spans="2:15" ht="15.75" thickBot="1" x14ac:dyDescent="0.3">
      <c r="B130" s="2" t="s">
        <v>35</v>
      </c>
      <c r="C130" s="15" t="s">
        <v>33</v>
      </c>
      <c r="D130" s="16" t="s">
        <v>14</v>
      </c>
      <c r="E130" s="17">
        <f>SUM(N121:N126)</f>
        <v>141.69704400000001</v>
      </c>
    </row>
    <row r="131" spans="2:15" ht="15.75" thickBot="1" x14ac:dyDescent="0.3">
      <c r="B131" s="2" t="s">
        <v>37</v>
      </c>
      <c r="C131" s="15" t="s">
        <v>160</v>
      </c>
      <c r="D131" s="16" t="s">
        <v>15</v>
      </c>
      <c r="E131" s="17">
        <f>SUM(O121:O126)</f>
        <v>1322.5057439999998</v>
      </c>
    </row>
    <row r="132" spans="2:15" x14ac:dyDescent="0.25">
      <c r="B132" s="18"/>
      <c r="C132" s="18"/>
    </row>
    <row r="134" spans="2:15" x14ac:dyDescent="0.25">
      <c r="B134" s="114" t="s">
        <v>47</v>
      </c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</row>
    <row r="135" spans="2:15" x14ac:dyDescent="0.25">
      <c r="B135" s="2" t="s">
        <v>48</v>
      </c>
      <c r="C135" s="33" t="s">
        <v>33</v>
      </c>
      <c r="D135" s="19" t="s">
        <v>16</v>
      </c>
      <c r="E135" s="115" t="s">
        <v>152</v>
      </c>
      <c r="F135" s="116"/>
      <c r="G135" s="47" t="s">
        <v>150</v>
      </c>
      <c r="H135" s="117" t="s">
        <v>49</v>
      </c>
      <c r="I135" s="118"/>
      <c r="J135" s="117" t="s">
        <v>151</v>
      </c>
      <c r="K135" s="118"/>
      <c r="L135" s="5" t="s">
        <v>50</v>
      </c>
      <c r="M135" s="5" t="s">
        <v>51</v>
      </c>
      <c r="N135" s="117" t="s">
        <v>155</v>
      </c>
      <c r="O135" s="118"/>
    </row>
    <row r="136" spans="2:15" x14ac:dyDescent="0.25">
      <c r="B136" s="2" t="s">
        <v>52</v>
      </c>
      <c r="C136" s="15" t="s">
        <v>33</v>
      </c>
      <c r="D136" s="9" t="s">
        <v>177</v>
      </c>
      <c r="E136" s="119" t="s">
        <v>178</v>
      </c>
      <c r="F136" s="119"/>
      <c r="G136" s="48">
        <v>712</v>
      </c>
      <c r="H136" s="120" t="s">
        <v>14</v>
      </c>
      <c r="I136" s="121"/>
      <c r="J136" s="122">
        <v>0.1</v>
      </c>
      <c r="K136" s="123"/>
      <c r="L136" s="20">
        <f>+E130*J136</f>
        <v>14.169704400000001</v>
      </c>
      <c r="M136" s="124">
        <f>+L136+L137</f>
        <v>108.6344004</v>
      </c>
      <c r="N136" s="126">
        <f>+E131-M136</f>
        <v>1213.8713435999998</v>
      </c>
      <c r="O136" s="127"/>
    </row>
    <row r="137" spans="2:15" x14ac:dyDescent="0.25">
      <c r="B137" s="2" t="s">
        <v>53</v>
      </c>
      <c r="C137" s="7">
        <v>505</v>
      </c>
      <c r="D137" s="9" t="s">
        <v>171</v>
      </c>
      <c r="E137" s="119" t="s">
        <v>172</v>
      </c>
      <c r="F137" s="119"/>
      <c r="G137" s="48">
        <v>320</v>
      </c>
      <c r="H137" s="120" t="s">
        <v>153</v>
      </c>
      <c r="I137" s="121"/>
      <c r="J137" s="122">
        <v>0.08</v>
      </c>
      <c r="K137" s="123"/>
      <c r="L137" s="20">
        <f>(E128+E127-E129)*J137</f>
        <v>94.464696000000004</v>
      </c>
      <c r="M137" s="125"/>
      <c r="N137" s="128"/>
      <c r="O137" s="129"/>
    </row>
    <row r="138" spans="2:15" x14ac:dyDescent="0.25">
      <c r="B138" s="2" t="s">
        <v>55</v>
      </c>
      <c r="C138" s="3" t="str">
        <f>+CONCATENATE(C129,"-",C130,"-",C131)</f>
        <v>001-001-104</v>
      </c>
    </row>
    <row r="139" spans="2:15" x14ac:dyDescent="0.25">
      <c r="B139" s="2" t="s">
        <v>57</v>
      </c>
      <c r="C139" s="21" t="str">
        <f>+C129</f>
        <v>001</v>
      </c>
    </row>
    <row r="140" spans="2:15" x14ac:dyDescent="0.25">
      <c r="B140" s="2" t="s">
        <v>86</v>
      </c>
      <c r="C140" s="21" t="s">
        <v>143</v>
      </c>
      <c r="E140" s="28" t="s">
        <v>279</v>
      </c>
    </row>
    <row r="141" spans="2:15" x14ac:dyDescent="0.25">
      <c r="B141" s="2" t="s">
        <v>58</v>
      </c>
      <c r="C141" s="21" t="s">
        <v>73</v>
      </c>
      <c r="E141" s="109" t="s">
        <v>330</v>
      </c>
    </row>
    <row r="142" spans="2:15" x14ac:dyDescent="0.25">
      <c r="B142" s="2" t="s">
        <v>60</v>
      </c>
      <c r="C142" s="21" t="s">
        <v>74</v>
      </c>
      <c r="D142" s="9" t="s">
        <v>154</v>
      </c>
    </row>
    <row r="143" spans="2:15" x14ac:dyDescent="0.25">
      <c r="B143" s="2" t="s">
        <v>61</v>
      </c>
      <c r="C143" s="27">
        <f>+(E131-M136)*D143</f>
        <v>364.16140307999996</v>
      </c>
      <c r="D143" s="43">
        <v>0.3</v>
      </c>
    </row>
    <row r="144" spans="2:15" x14ac:dyDescent="0.25">
      <c r="B144" s="2" t="s">
        <v>60</v>
      </c>
      <c r="C144" s="21" t="s">
        <v>75</v>
      </c>
      <c r="D144" s="9" t="s">
        <v>154</v>
      </c>
    </row>
    <row r="145" spans="1:18" x14ac:dyDescent="0.25">
      <c r="B145" s="2" t="s">
        <v>61</v>
      </c>
      <c r="C145" s="27">
        <f>+(E131-M136)*D145</f>
        <v>364.16140307999996</v>
      </c>
      <c r="D145" s="43">
        <v>0.3</v>
      </c>
      <c r="E145" s="28"/>
      <c r="F145" s="28"/>
      <c r="H145" s="23"/>
      <c r="I145" s="23"/>
      <c r="J145" s="24"/>
      <c r="K145" s="24"/>
      <c r="L145" s="25"/>
      <c r="M145" s="26"/>
      <c r="N145" s="22"/>
      <c r="O145" s="22"/>
    </row>
    <row r="146" spans="1:18" x14ac:dyDescent="0.25">
      <c r="B146" s="2" t="s">
        <v>58</v>
      </c>
      <c r="C146" s="21" t="s">
        <v>76</v>
      </c>
      <c r="D146" s="9"/>
    </row>
    <row r="147" spans="1:18" x14ac:dyDescent="0.25">
      <c r="B147" s="2" t="s">
        <v>60</v>
      </c>
      <c r="C147" s="21" t="s">
        <v>89</v>
      </c>
      <c r="D147" s="9" t="s">
        <v>154</v>
      </c>
    </row>
    <row r="148" spans="1:18" x14ac:dyDescent="0.25">
      <c r="B148" s="2" t="s">
        <v>61</v>
      </c>
      <c r="C148" s="27">
        <f>+(E131-M136)*D148</f>
        <v>485.54853743999996</v>
      </c>
      <c r="D148" s="43">
        <v>0.4</v>
      </c>
    </row>
    <row r="149" spans="1:18" x14ac:dyDescent="0.25">
      <c r="B149" s="2" t="s">
        <v>344</v>
      </c>
      <c r="C149" s="27" t="s">
        <v>345</v>
      </c>
    </row>
    <row r="150" spans="1:18" x14ac:dyDescent="0.25">
      <c r="C150" s="36"/>
    </row>
    <row r="151" spans="1:18" ht="26.25" x14ac:dyDescent="0.4">
      <c r="A151" s="34" t="s">
        <v>3</v>
      </c>
      <c r="B151" s="34" t="s">
        <v>145</v>
      </c>
      <c r="C151" s="1" t="s">
        <v>146</v>
      </c>
    </row>
    <row r="152" spans="1:18" x14ac:dyDescent="0.25">
      <c r="B152" s="112" t="s">
        <v>5</v>
      </c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</row>
    <row r="153" spans="1:18" x14ac:dyDescent="0.25">
      <c r="B153" s="2" t="s">
        <v>6</v>
      </c>
      <c r="C153" s="3" t="s">
        <v>67</v>
      </c>
      <c r="D153" s="4" t="s">
        <v>8</v>
      </c>
      <c r="E153" s="5" t="s">
        <v>9</v>
      </c>
      <c r="F153" s="5" t="s">
        <v>14</v>
      </c>
      <c r="G153" s="5" t="s">
        <v>10</v>
      </c>
      <c r="H153" s="5" t="s">
        <v>11</v>
      </c>
      <c r="I153" s="5" t="s">
        <v>148</v>
      </c>
      <c r="J153" s="5" t="s">
        <v>149</v>
      </c>
      <c r="K153" s="5" t="s">
        <v>12</v>
      </c>
      <c r="L153" s="5" t="s">
        <v>13</v>
      </c>
      <c r="M153" s="5" t="s">
        <v>40</v>
      </c>
      <c r="N153" s="5" t="s">
        <v>14</v>
      </c>
      <c r="O153" s="5" t="s">
        <v>15</v>
      </c>
      <c r="P153" s="5" t="s">
        <v>16</v>
      </c>
      <c r="Q153" s="5" t="s">
        <v>17</v>
      </c>
      <c r="R153" s="5" t="s">
        <v>18</v>
      </c>
    </row>
    <row r="154" spans="1:18" x14ac:dyDescent="0.25">
      <c r="B154" s="2" t="s">
        <v>19</v>
      </c>
      <c r="C154" s="15" t="s">
        <v>68</v>
      </c>
      <c r="D154" s="7">
        <v>118.47</v>
      </c>
      <c r="E154" s="9" t="s">
        <v>95</v>
      </c>
      <c r="F154" s="43">
        <v>0.12</v>
      </c>
      <c r="G154" s="35" t="s">
        <v>99</v>
      </c>
      <c r="H154" s="51">
        <v>1.47</v>
      </c>
      <c r="I154" s="51">
        <f>+IF(F154=0%,D154*H154,0)</f>
        <v>0</v>
      </c>
      <c r="J154" s="51">
        <f>+IF(F154=12%,D154*H154,0)</f>
        <v>174.15090000000001</v>
      </c>
      <c r="K154" s="52">
        <v>0</v>
      </c>
      <c r="L154" s="53">
        <v>0</v>
      </c>
      <c r="M154" s="53">
        <f>+J154*K154</f>
        <v>0</v>
      </c>
      <c r="N154" s="53">
        <f>+(J154-M154)*F154</f>
        <v>20.898108000000001</v>
      </c>
      <c r="O154" s="53">
        <f>+J154-M154+N154</f>
        <v>195.04900800000001</v>
      </c>
      <c r="P154" s="7" t="s">
        <v>45</v>
      </c>
      <c r="Q154" s="7" t="s">
        <v>46</v>
      </c>
      <c r="R154" s="7" t="s">
        <v>45</v>
      </c>
    </row>
    <row r="155" spans="1:18" x14ac:dyDescent="0.25">
      <c r="B155" s="2" t="s">
        <v>21</v>
      </c>
      <c r="C155" s="15" t="s">
        <v>22</v>
      </c>
      <c r="D155" s="7">
        <v>249.58</v>
      </c>
      <c r="E155" s="9" t="s">
        <v>96</v>
      </c>
      <c r="F155" s="43">
        <v>0.12</v>
      </c>
      <c r="G155" s="35" t="s">
        <v>100</v>
      </c>
      <c r="H155" s="51">
        <v>2.96</v>
      </c>
      <c r="I155" s="51">
        <f>+IF(F155=0%,D155*H155,0)</f>
        <v>0</v>
      </c>
      <c r="J155" s="51">
        <f>+IF(F155=12%,D155*H155,0)</f>
        <v>738.7568</v>
      </c>
      <c r="K155" s="52">
        <v>0</v>
      </c>
      <c r="L155" s="53">
        <v>0</v>
      </c>
      <c r="M155" s="53">
        <f>+J155*K155</f>
        <v>0</v>
      </c>
      <c r="N155" s="53">
        <f>+(J155-M155)*F155</f>
        <v>88.650815999999992</v>
      </c>
      <c r="O155" s="53">
        <f>+J155-M155+N155</f>
        <v>827.40761599999996</v>
      </c>
      <c r="P155" s="7" t="s">
        <v>45</v>
      </c>
      <c r="Q155" s="9" t="s">
        <v>46</v>
      </c>
      <c r="R155" s="7" t="s">
        <v>45</v>
      </c>
    </row>
    <row r="156" spans="1:18" ht="30" x14ac:dyDescent="0.25">
      <c r="B156" s="2" t="s">
        <v>23</v>
      </c>
      <c r="C156" s="30" t="s">
        <v>70</v>
      </c>
      <c r="D156" s="7">
        <v>73.540000000000006</v>
      </c>
      <c r="E156" s="9" t="s">
        <v>97</v>
      </c>
      <c r="F156" s="43">
        <v>0.12</v>
      </c>
      <c r="G156" s="35" t="s">
        <v>101</v>
      </c>
      <c r="H156" s="51">
        <v>3.15</v>
      </c>
      <c r="I156" s="51">
        <f>+IF(F156=0%,D156*H156,0)</f>
        <v>0</v>
      </c>
      <c r="J156" s="51">
        <f>+IF(F156=12%,D156*H156,0)</f>
        <v>231.65100000000001</v>
      </c>
      <c r="K156" s="52">
        <v>0</v>
      </c>
      <c r="L156" s="53">
        <v>0</v>
      </c>
      <c r="M156" s="53">
        <f>+J156*K156</f>
        <v>0</v>
      </c>
      <c r="N156" s="53">
        <f>+(J156-M156)*F156</f>
        <v>27.798120000000001</v>
      </c>
      <c r="O156" s="53">
        <f>+J156-M156+N156</f>
        <v>259.44911999999999</v>
      </c>
      <c r="P156" s="7" t="s">
        <v>45</v>
      </c>
      <c r="Q156" s="9" t="s">
        <v>46</v>
      </c>
      <c r="R156" s="7" t="s">
        <v>45</v>
      </c>
    </row>
    <row r="157" spans="1:18" x14ac:dyDescent="0.25">
      <c r="B157" s="2" t="s">
        <v>26</v>
      </c>
      <c r="C157" s="12" t="s">
        <v>71</v>
      </c>
      <c r="D157" s="7">
        <v>29</v>
      </c>
      <c r="E157" s="9" t="s">
        <v>98</v>
      </c>
      <c r="F157" s="43">
        <v>0.12</v>
      </c>
      <c r="G157" s="35" t="s">
        <v>102</v>
      </c>
      <c r="H157" s="51">
        <v>1.25</v>
      </c>
      <c r="I157" s="51">
        <f>+IF(F157=0%,D157*H157,0)</f>
        <v>0</v>
      </c>
      <c r="J157" s="51">
        <f>+IF(F157=12%,D157*H157,0)</f>
        <v>36.25</v>
      </c>
      <c r="K157" s="52">
        <v>0</v>
      </c>
      <c r="L157" s="53">
        <v>0</v>
      </c>
      <c r="M157" s="53">
        <f>+J157*K157</f>
        <v>0</v>
      </c>
      <c r="N157" s="53">
        <f>+(J157-M157)*F157</f>
        <v>4.3499999999999996</v>
      </c>
      <c r="O157" s="53">
        <f>+J157-M157+N157</f>
        <v>40.6</v>
      </c>
      <c r="P157" s="7" t="s">
        <v>45</v>
      </c>
      <c r="Q157" s="9" t="s">
        <v>46</v>
      </c>
      <c r="R157" s="7" t="s">
        <v>45</v>
      </c>
    </row>
    <row r="158" spans="1:18" x14ac:dyDescent="0.25">
      <c r="B158" s="2" t="s">
        <v>27</v>
      </c>
      <c r="C158" s="3" t="s">
        <v>28</v>
      </c>
      <c r="D158" s="13"/>
      <c r="E158" s="9"/>
      <c r="F158" s="9"/>
      <c r="G158" s="9"/>
      <c r="H158" s="10"/>
      <c r="I158" s="10"/>
      <c r="J158" s="10"/>
      <c r="K158" s="10"/>
      <c r="L158" s="9"/>
      <c r="M158" s="10"/>
      <c r="N158" s="10"/>
      <c r="O158" s="11"/>
      <c r="P158" s="7"/>
      <c r="Q158" s="9"/>
      <c r="R158" s="7"/>
    </row>
    <row r="159" spans="1:18" ht="15.75" thickBot="1" x14ac:dyDescent="0.3">
      <c r="B159" s="2" t="s">
        <v>29</v>
      </c>
      <c r="C159" s="3">
        <v>1</v>
      </c>
      <c r="D159" s="13"/>
      <c r="E159" s="9"/>
      <c r="F159" s="9"/>
      <c r="G159" s="9"/>
      <c r="H159" s="10"/>
      <c r="I159" s="10"/>
      <c r="J159" s="10"/>
      <c r="K159" s="10"/>
      <c r="L159" s="9"/>
      <c r="M159" s="10"/>
      <c r="N159" s="10"/>
      <c r="O159" s="11"/>
      <c r="P159" s="9"/>
      <c r="Q159" s="9"/>
      <c r="R159" s="7"/>
    </row>
    <row r="160" spans="1:18" ht="15.75" thickBot="1" x14ac:dyDescent="0.3">
      <c r="B160" s="2" t="s">
        <v>30</v>
      </c>
      <c r="C160" s="7">
        <v>1122728319</v>
      </c>
      <c r="D160" s="16" t="s">
        <v>34</v>
      </c>
      <c r="E160" s="40">
        <f>+SUM(I154:I157)</f>
        <v>0</v>
      </c>
    </row>
    <row r="161" spans="2:15" ht="15.75" thickBot="1" x14ac:dyDescent="0.3">
      <c r="B161" s="2" t="s">
        <v>31</v>
      </c>
      <c r="C161" s="14">
        <v>43498</v>
      </c>
      <c r="D161" s="16" t="s">
        <v>36</v>
      </c>
      <c r="E161" s="17">
        <f>+SUM(J154:J159)</f>
        <v>1180.8087</v>
      </c>
    </row>
    <row r="162" spans="2:15" ht="15.75" thickBot="1" x14ac:dyDescent="0.3">
      <c r="B162" s="2" t="s">
        <v>32</v>
      </c>
      <c r="C162" s="15" t="s">
        <v>33</v>
      </c>
      <c r="D162" s="16" t="s">
        <v>39</v>
      </c>
      <c r="E162" s="17">
        <f>SUM(M154:M159)</f>
        <v>0</v>
      </c>
    </row>
    <row r="163" spans="2:15" ht="15.75" thickBot="1" x14ac:dyDescent="0.3">
      <c r="B163" s="2" t="s">
        <v>35</v>
      </c>
      <c r="C163" s="15" t="s">
        <v>33</v>
      </c>
      <c r="D163" s="16" t="s">
        <v>14</v>
      </c>
      <c r="E163" s="17">
        <f>SUM(N154:N159)</f>
        <v>141.69704400000001</v>
      </c>
    </row>
    <row r="164" spans="2:15" ht="15.75" thickBot="1" x14ac:dyDescent="0.3">
      <c r="B164" s="2" t="s">
        <v>37</v>
      </c>
      <c r="C164" s="15" t="s">
        <v>161</v>
      </c>
      <c r="D164" s="16" t="s">
        <v>15</v>
      </c>
      <c r="E164" s="17">
        <f>SUM(O154:O159)</f>
        <v>1322.5057439999998</v>
      </c>
    </row>
    <row r="165" spans="2:15" x14ac:dyDescent="0.25">
      <c r="B165" s="18"/>
      <c r="C165" s="18"/>
    </row>
    <row r="167" spans="2:15" x14ac:dyDescent="0.25">
      <c r="B167" s="114" t="s">
        <v>47</v>
      </c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</row>
    <row r="168" spans="2:15" x14ac:dyDescent="0.25">
      <c r="B168" s="2" t="s">
        <v>48</v>
      </c>
      <c r="C168" s="15" t="s">
        <v>33</v>
      </c>
      <c r="D168" s="19" t="s">
        <v>16</v>
      </c>
      <c r="E168" s="115" t="s">
        <v>152</v>
      </c>
      <c r="F168" s="116"/>
      <c r="G168" s="47" t="s">
        <v>150</v>
      </c>
      <c r="H168" s="117" t="s">
        <v>49</v>
      </c>
      <c r="I168" s="118"/>
      <c r="J168" s="117" t="s">
        <v>151</v>
      </c>
      <c r="K168" s="118"/>
      <c r="L168" s="5" t="s">
        <v>50</v>
      </c>
      <c r="M168" s="5" t="s">
        <v>51</v>
      </c>
      <c r="N168" s="117" t="s">
        <v>155</v>
      </c>
      <c r="O168" s="118"/>
    </row>
    <row r="169" spans="2:15" x14ac:dyDescent="0.25">
      <c r="B169" s="2" t="s">
        <v>52</v>
      </c>
      <c r="C169" s="15" t="s">
        <v>33</v>
      </c>
      <c r="D169" s="9" t="s">
        <v>181</v>
      </c>
      <c r="E169" s="119" t="s">
        <v>182</v>
      </c>
      <c r="F169" s="119"/>
      <c r="G169" s="48">
        <v>731</v>
      </c>
      <c r="H169" s="120" t="s">
        <v>14</v>
      </c>
      <c r="I169" s="121"/>
      <c r="J169" s="122">
        <v>0.2</v>
      </c>
      <c r="K169" s="123"/>
      <c r="L169" s="20">
        <f>+E163*J169</f>
        <v>28.339408800000001</v>
      </c>
      <c r="M169" s="124">
        <f>+L169+L170</f>
        <v>51.955582800000002</v>
      </c>
      <c r="N169" s="126">
        <f>+E164-M169</f>
        <v>1270.5501611999998</v>
      </c>
      <c r="O169" s="127"/>
    </row>
    <row r="170" spans="2:15" x14ac:dyDescent="0.25">
      <c r="B170" s="2" t="s">
        <v>53</v>
      </c>
      <c r="C170" s="15" t="s">
        <v>164</v>
      </c>
      <c r="D170" s="9" t="s">
        <v>175</v>
      </c>
      <c r="E170" s="119" t="s">
        <v>176</v>
      </c>
      <c r="F170" s="119"/>
      <c r="G170" s="48">
        <v>311</v>
      </c>
      <c r="H170" s="120" t="s">
        <v>153</v>
      </c>
      <c r="I170" s="121"/>
      <c r="J170" s="122">
        <v>0.02</v>
      </c>
      <c r="K170" s="123"/>
      <c r="L170" s="20">
        <f>(E161+E160-E162)*J170</f>
        <v>23.616174000000001</v>
      </c>
      <c r="M170" s="125"/>
      <c r="N170" s="128"/>
      <c r="O170" s="129"/>
    </row>
    <row r="171" spans="2:15" x14ac:dyDescent="0.25">
      <c r="B171" s="2" t="s">
        <v>55</v>
      </c>
      <c r="C171" s="3" t="str">
        <f>+CONCATENATE(C162,"-",C163,"-",C164)</f>
        <v>001-001-105</v>
      </c>
    </row>
    <row r="172" spans="2:15" x14ac:dyDescent="0.25">
      <c r="B172" s="2" t="s">
        <v>57</v>
      </c>
      <c r="C172" s="21">
        <f>+C161</f>
        <v>43498</v>
      </c>
    </row>
    <row r="173" spans="2:15" x14ac:dyDescent="0.25">
      <c r="B173" s="2" t="s">
        <v>86</v>
      </c>
      <c r="C173" s="21" t="s">
        <v>143</v>
      </c>
      <c r="E173" s="28" t="s">
        <v>279</v>
      </c>
    </row>
    <row r="174" spans="2:15" x14ac:dyDescent="0.25">
      <c r="B174" s="2" t="s">
        <v>58</v>
      </c>
      <c r="C174" s="21" t="s">
        <v>73</v>
      </c>
      <c r="E174" s="110" t="s">
        <v>330</v>
      </c>
    </row>
    <row r="175" spans="2:15" x14ac:dyDescent="0.25">
      <c r="B175" s="2" t="s">
        <v>60</v>
      </c>
      <c r="C175" s="21" t="s">
        <v>74</v>
      </c>
      <c r="D175" s="9" t="s">
        <v>154</v>
      </c>
    </row>
    <row r="176" spans="2:15" x14ac:dyDescent="0.25">
      <c r="B176" s="2" t="s">
        <v>61</v>
      </c>
      <c r="C176" s="27">
        <f>+(E164-M169)*D176</f>
        <v>762.33009671999991</v>
      </c>
      <c r="D176" s="43">
        <v>0.6</v>
      </c>
    </row>
    <row r="177" spans="1:18" x14ac:dyDescent="0.25">
      <c r="B177" s="2" t="s">
        <v>147</v>
      </c>
      <c r="C177" s="21" t="s">
        <v>84</v>
      </c>
    </row>
    <row r="178" spans="1:18" x14ac:dyDescent="0.25">
      <c r="B178" s="2" t="s">
        <v>60</v>
      </c>
      <c r="C178" s="21" t="s">
        <v>85</v>
      </c>
      <c r="D178" s="9" t="s">
        <v>154</v>
      </c>
    </row>
    <row r="179" spans="1:18" x14ac:dyDescent="0.25">
      <c r="B179" s="2" t="s">
        <v>61</v>
      </c>
      <c r="C179" s="27">
        <f>+(E164-M169)*D179</f>
        <v>508.22006447999996</v>
      </c>
      <c r="D179" s="43">
        <v>0.4</v>
      </c>
    </row>
    <row r="180" spans="1:18" x14ac:dyDescent="0.25">
      <c r="B180" s="2" t="s">
        <v>344</v>
      </c>
      <c r="C180" s="27" t="s">
        <v>84</v>
      </c>
    </row>
    <row r="181" spans="1:18" s="71" customFormat="1" x14ac:dyDescent="0.25"/>
    <row r="182" spans="1:18" ht="26.25" x14ac:dyDescent="0.4">
      <c r="A182" s="34" t="s">
        <v>72</v>
      </c>
      <c r="B182" s="34" t="s">
        <v>92</v>
      </c>
      <c r="C182" s="1" t="s">
        <v>65</v>
      </c>
    </row>
    <row r="183" spans="1:18" x14ac:dyDescent="0.25">
      <c r="B183" s="112" t="s">
        <v>5</v>
      </c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</row>
    <row r="184" spans="1:18" x14ac:dyDescent="0.25">
      <c r="B184" s="2" t="s">
        <v>6</v>
      </c>
      <c r="C184" s="3" t="s">
        <v>7</v>
      </c>
      <c r="D184" s="4" t="s">
        <v>8</v>
      </c>
      <c r="E184" s="5" t="s">
        <v>9</v>
      </c>
      <c r="F184" s="5" t="s">
        <v>14</v>
      </c>
      <c r="G184" s="5" t="s">
        <v>10</v>
      </c>
      <c r="H184" s="5" t="s">
        <v>11</v>
      </c>
      <c r="I184" s="5" t="s">
        <v>148</v>
      </c>
      <c r="J184" s="5" t="s">
        <v>149</v>
      </c>
      <c r="K184" s="5" t="s">
        <v>12</v>
      </c>
      <c r="L184" s="5" t="s">
        <v>13</v>
      </c>
      <c r="M184" s="5" t="s">
        <v>40</v>
      </c>
      <c r="N184" s="5" t="s">
        <v>14</v>
      </c>
      <c r="O184" s="5" t="s">
        <v>15</v>
      </c>
      <c r="P184" s="5" t="s">
        <v>16</v>
      </c>
      <c r="Q184" s="5" t="s">
        <v>17</v>
      </c>
      <c r="R184" s="5" t="s">
        <v>18</v>
      </c>
    </row>
    <row r="185" spans="1:18" x14ac:dyDescent="0.25">
      <c r="B185" s="2" t="s">
        <v>19</v>
      </c>
      <c r="C185" s="6" t="s">
        <v>20</v>
      </c>
      <c r="D185" s="9">
        <v>61</v>
      </c>
      <c r="E185" s="9" t="s">
        <v>41</v>
      </c>
      <c r="F185" s="43">
        <v>0.12</v>
      </c>
      <c r="G185" s="7" t="s">
        <v>104</v>
      </c>
      <c r="H185" s="51">
        <v>1.45</v>
      </c>
      <c r="I185" s="51">
        <f>+IF(F185=0%,D185*H185,0)</f>
        <v>0</v>
      </c>
      <c r="J185" s="51">
        <f>+IF(F185=12%,D185*H185,0)</f>
        <v>88.45</v>
      </c>
      <c r="K185" s="52">
        <v>0</v>
      </c>
      <c r="L185" s="53">
        <v>0</v>
      </c>
      <c r="M185" s="53">
        <f>+J185*K185</f>
        <v>0</v>
      </c>
      <c r="N185" s="53">
        <f>+(J185-M185)*F185</f>
        <v>10.614000000000001</v>
      </c>
      <c r="O185" s="53">
        <f>+J185-M185+N185</f>
        <v>99.064000000000007</v>
      </c>
      <c r="P185" s="7" t="s">
        <v>45</v>
      </c>
      <c r="Q185" s="7" t="s">
        <v>46</v>
      </c>
      <c r="R185" s="7" t="s">
        <v>45</v>
      </c>
    </row>
    <row r="186" spans="1:18" x14ac:dyDescent="0.25">
      <c r="B186" s="2" t="s">
        <v>21</v>
      </c>
      <c r="C186" s="15" t="s">
        <v>22</v>
      </c>
      <c r="D186" s="9">
        <v>56.21</v>
      </c>
      <c r="E186" s="9" t="s">
        <v>42</v>
      </c>
      <c r="F186" s="43">
        <v>0.12</v>
      </c>
      <c r="G186" s="7" t="s">
        <v>106</v>
      </c>
      <c r="H186" s="51">
        <v>2.96</v>
      </c>
      <c r="I186" s="51">
        <f>+IF(F186=0%,D186*H186,0)</f>
        <v>0</v>
      </c>
      <c r="J186" s="51">
        <f>+IF(F186=12%,D186*H186,0)</f>
        <v>166.38159999999999</v>
      </c>
      <c r="K186" s="52">
        <v>0</v>
      </c>
      <c r="L186" s="53">
        <v>0</v>
      </c>
      <c r="M186" s="53">
        <f>+J186*K186</f>
        <v>0</v>
      </c>
      <c r="N186" s="53">
        <f>+(J186-M186)*F186</f>
        <v>19.965791999999997</v>
      </c>
      <c r="O186" s="53">
        <f>+J186-M186+N186</f>
        <v>186.34739199999999</v>
      </c>
      <c r="P186" s="7" t="s">
        <v>45</v>
      </c>
      <c r="Q186" s="9" t="s">
        <v>46</v>
      </c>
      <c r="R186" s="7" t="s">
        <v>45</v>
      </c>
    </row>
    <row r="187" spans="1:18" ht="30" x14ac:dyDescent="0.25">
      <c r="B187" s="2" t="s">
        <v>23</v>
      </c>
      <c r="C187" s="8" t="s">
        <v>70</v>
      </c>
      <c r="D187" s="13">
        <v>49</v>
      </c>
      <c r="E187" s="9" t="s">
        <v>43</v>
      </c>
      <c r="F187" s="43">
        <v>0.12</v>
      </c>
      <c r="G187" s="7" t="s">
        <v>108</v>
      </c>
      <c r="H187" s="51">
        <v>3.15</v>
      </c>
      <c r="I187" s="51">
        <f>+IF(F187=0%,D187*H187,0)</f>
        <v>0</v>
      </c>
      <c r="J187" s="51">
        <f>+IF(F187=12%,D187*H187,0)</f>
        <v>154.35</v>
      </c>
      <c r="K187" s="52">
        <v>0</v>
      </c>
      <c r="L187" s="53">
        <v>0</v>
      </c>
      <c r="M187" s="53">
        <f>+J187*K187</f>
        <v>0</v>
      </c>
      <c r="N187" s="53">
        <f>+(J187-M187)*F187</f>
        <v>18.521999999999998</v>
      </c>
      <c r="O187" s="53">
        <f>+J187-M187+N187</f>
        <v>172.87199999999999</v>
      </c>
      <c r="P187" s="7" t="s">
        <v>45</v>
      </c>
      <c r="Q187" s="9" t="s">
        <v>46</v>
      </c>
      <c r="R187" s="7" t="s">
        <v>45</v>
      </c>
    </row>
    <row r="188" spans="1:18" x14ac:dyDescent="0.25">
      <c r="B188" s="2" t="s">
        <v>26</v>
      </c>
      <c r="C188" s="12" t="s">
        <v>71</v>
      </c>
      <c r="D188" s="13">
        <v>12.2</v>
      </c>
      <c r="E188" s="9" t="s">
        <v>44</v>
      </c>
      <c r="F188" s="43">
        <v>0.12</v>
      </c>
      <c r="G188" s="7" t="s">
        <v>110</v>
      </c>
      <c r="H188" s="51">
        <v>1.25</v>
      </c>
      <c r="I188" s="51">
        <f>+IF(F188=0%,D188*H188,0)</f>
        <v>0</v>
      </c>
      <c r="J188" s="51">
        <f>+IF(F188=12%,D188*H188,0)</f>
        <v>15.25</v>
      </c>
      <c r="K188" s="52">
        <v>0</v>
      </c>
      <c r="L188" s="53">
        <v>0</v>
      </c>
      <c r="M188" s="53">
        <f>+J188*K188</f>
        <v>0</v>
      </c>
      <c r="N188" s="53">
        <f>+(J188-M188)*F188</f>
        <v>1.8299999999999998</v>
      </c>
      <c r="O188" s="53">
        <f>+J188-M188+N188</f>
        <v>17.079999999999998</v>
      </c>
      <c r="P188" s="7" t="s">
        <v>45</v>
      </c>
      <c r="Q188" s="9" t="s">
        <v>46</v>
      </c>
      <c r="R188" s="7" t="s">
        <v>45</v>
      </c>
    </row>
    <row r="189" spans="1:18" x14ac:dyDescent="0.25">
      <c r="B189" s="2" t="s">
        <v>27</v>
      </c>
      <c r="C189" s="3" t="s">
        <v>28</v>
      </c>
      <c r="D189" s="9"/>
      <c r="E189" s="9"/>
      <c r="F189" s="9"/>
      <c r="G189" s="7"/>
      <c r="H189" s="10"/>
      <c r="I189" s="10"/>
      <c r="J189" s="10"/>
      <c r="K189" s="10"/>
      <c r="L189" s="9"/>
      <c r="M189" s="10"/>
      <c r="N189" s="10"/>
      <c r="O189" s="11"/>
      <c r="P189" s="7"/>
      <c r="Q189" s="9"/>
      <c r="R189" s="7"/>
    </row>
    <row r="190" spans="1:18" x14ac:dyDescent="0.25">
      <c r="B190" s="2" t="s">
        <v>29</v>
      </c>
      <c r="C190" s="3">
        <v>1</v>
      </c>
      <c r="D190" s="9"/>
      <c r="E190" s="9"/>
      <c r="F190" s="9"/>
      <c r="G190" s="9"/>
      <c r="H190" s="10"/>
      <c r="I190" s="10"/>
      <c r="J190" s="10"/>
      <c r="K190" s="10"/>
      <c r="L190" s="9"/>
      <c r="M190" s="10"/>
      <c r="N190" s="10"/>
      <c r="O190" s="11"/>
      <c r="P190" s="9"/>
      <c r="Q190" s="9"/>
      <c r="R190" s="7"/>
    </row>
    <row r="191" spans="1:18" ht="15.75" thickBot="1" x14ac:dyDescent="0.3">
      <c r="B191" s="2" t="s">
        <v>30</v>
      </c>
      <c r="C191" s="7">
        <v>1120335551</v>
      </c>
      <c r="D191" s="39" t="s">
        <v>148</v>
      </c>
      <c r="E191" s="49">
        <f>+SUM(I185:I188)</f>
        <v>0</v>
      </c>
      <c r="G191" s="23"/>
      <c r="H191" s="41"/>
      <c r="I191" s="41"/>
      <c r="J191" s="41"/>
      <c r="K191" s="41"/>
      <c r="L191" s="23"/>
      <c r="M191" s="41"/>
      <c r="N191" s="41"/>
      <c r="O191" s="42"/>
      <c r="P191" s="23"/>
      <c r="Q191" s="23"/>
      <c r="R191" s="22"/>
    </row>
    <row r="192" spans="1:18" ht="15.75" thickBot="1" x14ac:dyDescent="0.3">
      <c r="B192" s="2" t="s">
        <v>31</v>
      </c>
      <c r="C192" s="14">
        <v>43497</v>
      </c>
      <c r="D192" s="16" t="s">
        <v>36</v>
      </c>
      <c r="E192" s="50">
        <f>+SUM(J185:J190)</f>
        <v>424.4316</v>
      </c>
      <c r="G192" s="23"/>
      <c r="H192" s="41"/>
      <c r="I192" s="41"/>
      <c r="J192" s="41"/>
      <c r="K192" s="41"/>
      <c r="L192" s="23"/>
      <c r="M192" s="41"/>
      <c r="N192" s="41"/>
      <c r="O192" s="42"/>
      <c r="P192" s="23"/>
      <c r="Q192" s="23"/>
      <c r="R192" s="22"/>
    </row>
    <row r="193" spans="1:18" ht="15.75" thickBot="1" x14ac:dyDescent="0.3">
      <c r="B193" s="2" t="s">
        <v>32</v>
      </c>
      <c r="C193" s="15" t="s">
        <v>33</v>
      </c>
      <c r="D193" s="16" t="s">
        <v>39</v>
      </c>
      <c r="E193" s="50">
        <f>SUM(M185:M190)</f>
        <v>0</v>
      </c>
    </row>
    <row r="194" spans="1:18" ht="15.75" thickBot="1" x14ac:dyDescent="0.3">
      <c r="B194" s="2" t="s">
        <v>35</v>
      </c>
      <c r="C194" s="15" t="s">
        <v>33</v>
      </c>
      <c r="D194" s="16" t="s">
        <v>14</v>
      </c>
      <c r="E194" s="50">
        <f>SUM(N185:N190)</f>
        <v>50.931791999999994</v>
      </c>
    </row>
    <row r="195" spans="1:18" ht="15.75" thickBot="1" x14ac:dyDescent="0.3">
      <c r="B195" s="2" t="s">
        <v>37</v>
      </c>
      <c r="C195" s="15" t="s">
        <v>246</v>
      </c>
      <c r="D195" s="16" t="s">
        <v>15</v>
      </c>
      <c r="E195" s="50">
        <f>SUM(O185:O190)</f>
        <v>475.36339199999992</v>
      </c>
    </row>
    <row r="196" spans="1:18" x14ac:dyDescent="0.25">
      <c r="B196" s="18"/>
      <c r="C196" s="18"/>
    </row>
    <row r="197" spans="1:18" x14ac:dyDescent="0.25">
      <c r="B197" s="18"/>
      <c r="C197" s="18"/>
    </row>
    <row r="198" spans="1:18" x14ac:dyDescent="0.25">
      <c r="B198" s="114" t="s">
        <v>207</v>
      </c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</row>
    <row r="199" spans="1:18" x14ac:dyDescent="0.25">
      <c r="B199" s="2" t="s">
        <v>86</v>
      </c>
      <c r="C199" s="21" t="s">
        <v>87</v>
      </c>
      <c r="D199" s="22"/>
      <c r="E199" s="23"/>
      <c r="F199" s="23"/>
      <c r="H199" s="23"/>
      <c r="I199" s="23"/>
      <c r="J199" s="24"/>
      <c r="K199" s="24"/>
      <c r="L199" s="25"/>
      <c r="M199" s="26"/>
      <c r="N199" s="22"/>
      <c r="O199" s="22"/>
    </row>
    <row r="200" spans="1:18" x14ac:dyDescent="0.25">
      <c r="B200" s="2" t="s">
        <v>59</v>
      </c>
      <c r="C200" s="21" t="s">
        <v>84</v>
      </c>
      <c r="D200" s="22"/>
      <c r="E200" s="23"/>
      <c r="F200" s="23"/>
      <c r="H200" s="23"/>
      <c r="I200" s="23"/>
      <c r="J200" s="24"/>
      <c r="K200" s="24"/>
      <c r="L200" s="25"/>
      <c r="M200" s="26"/>
      <c r="N200" s="22"/>
      <c r="O200" s="22"/>
    </row>
    <row r="201" spans="1:18" x14ac:dyDescent="0.25">
      <c r="B201" s="2" t="s">
        <v>60</v>
      </c>
      <c r="C201" s="21" t="s">
        <v>85</v>
      </c>
      <c r="D201" s="22"/>
      <c r="E201" s="28" t="s">
        <v>279</v>
      </c>
      <c r="F201" s="23"/>
      <c r="H201" s="23"/>
      <c r="I201" s="23"/>
      <c r="J201" s="24"/>
      <c r="K201" s="24"/>
      <c r="L201" s="25"/>
      <c r="M201" s="26"/>
      <c r="N201" s="22"/>
      <c r="O201" s="22"/>
    </row>
    <row r="202" spans="1:18" x14ac:dyDescent="0.25">
      <c r="B202" s="2" t="s">
        <v>61</v>
      </c>
      <c r="C202" s="27">
        <f>+E195</f>
        <v>475.36339199999992</v>
      </c>
      <c r="D202" s="22"/>
      <c r="E202" s="28" t="s">
        <v>330</v>
      </c>
      <c r="G202" s="23"/>
      <c r="H202" s="24"/>
      <c r="I202" s="24"/>
      <c r="J202" s="24"/>
      <c r="K202" s="25"/>
      <c r="L202" s="26"/>
      <c r="M202" s="22"/>
      <c r="N202" s="22"/>
    </row>
    <row r="203" spans="1:18" x14ac:dyDescent="0.25">
      <c r="B203" s="2" t="s">
        <v>344</v>
      </c>
      <c r="C203" s="27" t="s">
        <v>84</v>
      </c>
    </row>
    <row r="205" spans="1:18" ht="26.25" x14ac:dyDescent="0.4">
      <c r="A205" s="34" t="s">
        <v>72</v>
      </c>
      <c r="B205" s="34" t="s">
        <v>93</v>
      </c>
      <c r="C205" s="1" t="s">
        <v>208</v>
      </c>
    </row>
    <row r="206" spans="1:18" x14ac:dyDescent="0.25">
      <c r="B206" s="112" t="s">
        <v>5</v>
      </c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</row>
    <row r="207" spans="1:18" x14ac:dyDescent="0.25">
      <c r="B207" s="2" t="s">
        <v>6</v>
      </c>
      <c r="C207" s="3" t="s">
        <v>7</v>
      </c>
      <c r="D207" s="4" t="s">
        <v>8</v>
      </c>
      <c r="E207" s="5" t="s">
        <v>9</v>
      </c>
      <c r="F207" s="5" t="s">
        <v>14</v>
      </c>
      <c r="G207" s="5" t="s">
        <v>10</v>
      </c>
      <c r="H207" s="5" t="s">
        <v>11</v>
      </c>
      <c r="I207" s="5" t="s">
        <v>148</v>
      </c>
      <c r="J207" s="5" t="s">
        <v>149</v>
      </c>
      <c r="K207" s="5" t="s">
        <v>12</v>
      </c>
      <c r="L207" s="5" t="s">
        <v>13</v>
      </c>
      <c r="M207" s="5" t="s">
        <v>40</v>
      </c>
      <c r="N207" s="5" t="s">
        <v>14</v>
      </c>
      <c r="O207" s="5" t="s">
        <v>15</v>
      </c>
      <c r="P207" s="5" t="s">
        <v>16</v>
      </c>
      <c r="Q207" s="5" t="s">
        <v>17</v>
      </c>
      <c r="R207" s="5" t="s">
        <v>18</v>
      </c>
    </row>
    <row r="208" spans="1:18" x14ac:dyDescent="0.25">
      <c r="B208" s="2" t="s">
        <v>19</v>
      </c>
      <c r="C208" s="6" t="s">
        <v>20</v>
      </c>
      <c r="D208" s="9">
        <v>61</v>
      </c>
      <c r="E208" s="9" t="s">
        <v>41</v>
      </c>
      <c r="F208" s="43">
        <v>0.12</v>
      </c>
      <c r="G208" s="7" t="s">
        <v>104</v>
      </c>
      <c r="H208" s="51">
        <v>1.45</v>
      </c>
      <c r="I208" s="51">
        <f>+IF(F208=0%,D208*H208,0)</f>
        <v>0</v>
      </c>
      <c r="J208" s="51">
        <f>+IF(F208=12%,D208*H208,0)</f>
        <v>88.45</v>
      </c>
      <c r="K208" s="52">
        <v>0</v>
      </c>
      <c r="L208" s="53">
        <v>0</v>
      </c>
      <c r="M208" s="53">
        <f>+J208*K208</f>
        <v>0</v>
      </c>
      <c r="N208" s="53">
        <f>+(J208-M208)*F208</f>
        <v>10.614000000000001</v>
      </c>
      <c r="O208" s="53">
        <f>+J208-M208+N208</f>
        <v>99.064000000000007</v>
      </c>
      <c r="P208" s="7" t="s">
        <v>45</v>
      </c>
      <c r="Q208" s="7" t="s">
        <v>46</v>
      </c>
      <c r="R208" s="7" t="s">
        <v>45</v>
      </c>
    </row>
    <row r="209" spans="2:18" x14ac:dyDescent="0.25">
      <c r="B209" s="2" t="s">
        <v>21</v>
      </c>
      <c r="C209" s="15" t="s">
        <v>22</v>
      </c>
      <c r="D209" s="9">
        <v>56.21</v>
      </c>
      <c r="E209" s="9" t="s">
        <v>42</v>
      </c>
      <c r="F209" s="43">
        <v>0.12</v>
      </c>
      <c r="G209" s="7" t="s">
        <v>106</v>
      </c>
      <c r="H209" s="51">
        <v>2.96</v>
      </c>
      <c r="I209" s="51">
        <f>+IF(F209=0%,D209*H209,0)</f>
        <v>0</v>
      </c>
      <c r="J209" s="51">
        <f>+IF(F209=12%,D209*H209,0)</f>
        <v>166.38159999999999</v>
      </c>
      <c r="K209" s="52">
        <v>0</v>
      </c>
      <c r="L209" s="53">
        <v>0</v>
      </c>
      <c r="M209" s="53">
        <f>+J209*K209</f>
        <v>0</v>
      </c>
      <c r="N209" s="53">
        <f>+(J209-M209)*F209</f>
        <v>19.965791999999997</v>
      </c>
      <c r="O209" s="53">
        <f>+J209-M209+N209</f>
        <v>186.34739199999999</v>
      </c>
      <c r="P209" s="7" t="s">
        <v>45</v>
      </c>
      <c r="Q209" s="9" t="s">
        <v>46</v>
      </c>
      <c r="R209" s="7" t="s">
        <v>45</v>
      </c>
    </row>
    <row r="210" spans="2:18" ht="30" x14ac:dyDescent="0.25">
      <c r="B210" s="2" t="s">
        <v>23</v>
      </c>
      <c r="C210" s="30" t="s">
        <v>70</v>
      </c>
      <c r="D210" s="13">
        <v>49</v>
      </c>
      <c r="E210" s="9" t="s">
        <v>43</v>
      </c>
      <c r="F210" s="43">
        <v>0.12</v>
      </c>
      <c r="G210" s="7" t="s">
        <v>108</v>
      </c>
      <c r="H210" s="51">
        <v>4.7300000000000004</v>
      </c>
      <c r="I210" s="51">
        <f>+IF(F210=0%,D210*H210,0)</f>
        <v>0</v>
      </c>
      <c r="J210" s="51">
        <f>+IF(F210=12%,D210*H210,0)</f>
        <v>231.77</v>
      </c>
      <c r="K210" s="52">
        <v>0</v>
      </c>
      <c r="L210" s="53">
        <v>0</v>
      </c>
      <c r="M210" s="53">
        <f>+J210*K210</f>
        <v>0</v>
      </c>
      <c r="N210" s="53">
        <f>+(J210-M210)*F210</f>
        <v>27.8124</v>
      </c>
      <c r="O210" s="53">
        <f>+J210-M210+N210</f>
        <v>259.58240000000001</v>
      </c>
      <c r="P210" s="7" t="s">
        <v>45</v>
      </c>
      <c r="Q210" s="9" t="s">
        <v>46</v>
      </c>
      <c r="R210" s="7" t="s">
        <v>45</v>
      </c>
    </row>
    <row r="211" spans="2:18" x14ac:dyDescent="0.25">
      <c r="B211" s="2" t="s">
        <v>26</v>
      </c>
      <c r="C211" s="12" t="s">
        <v>71</v>
      </c>
      <c r="D211" s="13">
        <v>12.2</v>
      </c>
      <c r="E211" s="9" t="s">
        <v>44</v>
      </c>
      <c r="F211" s="43">
        <v>0.12</v>
      </c>
      <c r="G211" s="7" t="s">
        <v>110</v>
      </c>
      <c r="H211" s="51">
        <v>1.25</v>
      </c>
      <c r="I211" s="51">
        <f>+IF(F211=0%,D211*H211,0)</f>
        <v>0</v>
      </c>
      <c r="J211" s="51">
        <f>+IF(F211=12%,D211*H211,0)</f>
        <v>15.25</v>
      </c>
      <c r="K211" s="52">
        <v>0</v>
      </c>
      <c r="L211" s="53">
        <v>0</v>
      </c>
      <c r="M211" s="53">
        <f>+J211*K211</f>
        <v>0</v>
      </c>
      <c r="N211" s="53">
        <f>+(J211-M211)*F211</f>
        <v>1.8299999999999998</v>
      </c>
      <c r="O211" s="53">
        <f>+J211-M211+N211</f>
        <v>17.079999999999998</v>
      </c>
      <c r="P211" s="7" t="s">
        <v>45</v>
      </c>
      <c r="Q211" s="9" t="s">
        <v>46</v>
      </c>
      <c r="R211" s="7" t="s">
        <v>45</v>
      </c>
    </row>
    <row r="212" spans="2:18" x14ac:dyDescent="0.25">
      <c r="B212" s="2" t="s">
        <v>27</v>
      </c>
      <c r="C212" s="3" t="s">
        <v>28</v>
      </c>
      <c r="D212" s="9"/>
      <c r="E212" s="9"/>
      <c r="F212" s="9"/>
      <c r="G212" s="9"/>
      <c r="H212" s="10"/>
      <c r="I212" s="10"/>
      <c r="J212" s="10"/>
      <c r="K212" s="10"/>
      <c r="L212" s="9"/>
      <c r="M212" s="10"/>
      <c r="N212" s="10"/>
      <c r="O212" s="11"/>
      <c r="P212" s="7"/>
      <c r="Q212" s="9"/>
      <c r="R212" s="7"/>
    </row>
    <row r="213" spans="2:18" x14ac:dyDescent="0.25">
      <c r="B213" s="2" t="s">
        <v>29</v>
      </c>
      <c r="C213" s="3">
        <v>1</v>
      </c>
      <c r="D213" s="9"/>
      <c r="E213" s="9"/>
      <c r="F213" s="9"/>
      <c r="G213" s="9"/>
      <c r="H213" s="10"/>
      <c r="I213" s="10"/>
      <c r="J213" s="10"/>
      <c r="K213" s="10"/>
      <c r="L213" s="9"/>
      <c r="M213" s="10"/>
      <c r="N213" s="10"/>
      <c r="O213" s="11"/>
      <c r="P213" s="9"/>
      <c r="Q213" s="9"/>
      <c r="R213" s="7"/>
    </row>
    <row r="214" spans="2:18" ht="15.75" thickBot="1" x14ac:dyDescent="0.3">
      <c r="B214" s="2" t="s">
        <v>30</v>
      </c>
      <c r="C214" s="37">
        <v>1120335551</v>
      </c>
      <c r="D214" s="39" t="s">
        <v>34</v>
      </c>
      <c r="E214" s="40">
        <f>+SUM(I208:I211)</f>
        <v>0</v>
      </c>
      <c r="F214" s="23"/>
      <c r="G214" s="23"/>
      <c r="H214" s="41"/>
      <c r="I214" s="41"/>
      <c r="J214" s="41"/>
      <c r="K214" s="41"/>
      <c r="L214" s="23"/>
      <c r="M214" s="41"/>
      <c r="N214" s="41"/>
      <c r="O214" s="42"/>
      <c r="P214" s="23"/>
      <c r="Q214" s="23"/>
      <c r="R214" s="22"/>
    </row>
    <row r="215" spans="2:18" ht="15.75" thickBot="1" x14ac:dyDescent="0.3">
      <c r="B215" s="2" t="s">
        <v>31</v>
      </c>
      <c r="C215" s="38">
        <v>43497</v>
      </c>
      <c r="D215" s="16" t="s">
        <v>36</v>
      </c>
      <c r="E215" s="17">
        <f>+SUM(J208:J213)</f>
        <v>501.85159999999996</v>
      </c>
      <c r="F215" s="23"/>
      <c r="G215" s="23"/>
      <c r="H215" s="41"/>
      <c r="I215" s="41"/>
      <c r="J215" s="41"/>
      <c r="K215" s="41"/>
      <c r="L215" s="23"/>
      <c r="M215" s="41"/>
      <c r="N215" s="41"/>
      <c r="O215" s="42"/>
      <c r="P215" s="23"/>
      <c r="Q215" s="23"/>
      <c r="R215" s="22"/>
    </row>
    <row r="216" spans="2:18" ht="15.75" thickBot="1" x14ac:dyDescent="0.3">
      <c r="B216" s="2" t="s">
        <v>32</v>
      </c>
      <c r="C216" s="15" t="s">
        <v>33</v>
      </c>
      <c r="D216" s="16" t="s">
        <v>39</v>
      </c>
      <c r="E216" s="17">
        <f>SUM(M208:M213)</f>
        <v>0</v>
      </c>
      <c r="F216" s="23"/>
    </row>
    <row r="217" spans="2:18" ht="15.75" thickBot="1" x14ac:dyDescent="0.3">
      <c r="B217" s="2" t="s">
        <v>35</v>
      </c>
      <c r="C217" s="15" t="s">
        <v>33</v>
      </c>
      <c r="D217" s="16" t="s">
        <v>14</v>
      </c>
      <c r="E217" s="17">
        <f>SUM(N208:N213)</f>
        <v>60.222191999999993</v>
      </c>
      <c r="F217" s="23"/>
    </row>
    <row r="218" spans="2:18" ht="15.75" thickBot="1" x14ac:dyDescent="0.3">
      <c r="B218" s="2" t="s">
        <v>37</v>
      </c>
      <c r="C218" s="15" t="s">
        <v>247</v>
      </c>
      <c r="D218" s="16" t="s">
        <v>15</v>
      </c>
      <c r="E218" s="17">
        <f>SUM(O208:O213)</f>
        <v>562.07379200000003</v>
      </c>
      <c r="F218" s="23"/>
    </row>
    <row r="219" spans="2:18" x14ac:dyDescent="0.25">
      <c r="B219" s="18"/>
      <c r="C219" s="18"/>
    </row>
    <row r="220" spans="2:18" x14ac:dyDescent="0.25">
      <c r="B220" s="18"/>
      <c r="C220" s="18"/>
    </row>
    <row r="221" spans="2:18" x14ac:dyDescent="0.25">
      <c r="B221" s="114" t="s">
        <v>207</v>
      </c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</row>
    <row r="222" spans="2:18" x14ac:dyDescent="0.25">
      <c r="B222" s="2" t="s">
        <v>86</v>
      </c>
      <c r="C222" s="21" t="s">
        <v>87</v>
      </c>
      <c r="D222" s="22"/>
      <c r="E222" s="23"/>
      <c r="F222" s="23"/>
      <c r="G222" s="23"/>
      <c r="H222" s="23"/>
      <c r="I222" s="23"/>
      <c r="J222" s="24"/>
      <c r="K222" s="24"/>
      <c r="L222" s="25"/>
      <c r="M222" s="26"/>
      <c r="N222" s="22"/>
      <c r="O222" s="22"/>
    </row>
    <row r="223" spans="2:18" x14ac:dyDescent="0.25">
      <c r="B223" s="2" t="s">
        <v>59</v>
      </c>
      <c r="C223" s="21" t="s">
        <v>88</v>
      </c>
      <c r="D223" s="22"/>
      <c r="E223" s="23"/>
      <c r="F223" s="23"/>
      <c r="G223" s="23"/>
      <c r="H223" s="23"/>
      <c r="I223" s="23"/>
      <c r="J223" s="24"/>
      <c r="K223" s="24"/>
      <c r="L223" s="25"/>
      <c r="M223" s="26"/>
      <c r="N223" s="22"/>
      <c r="O223" s="22"/>
    </row>
    <row r="224" spans="2:18" x14ac:dyDescent="0.25">
      <c r="B224" s="2" t="s">
        <v>60</v>
      </c>
      <c r="C224" s="21" t="s">
        <v>89</v>
      </c>
      <c r="D224" s="22"/>
      <c r="E224" s="28" t="s">
        <v>279</v>
      </c>
      <c r="F224" s="23"/>
      <c r="G224" s="23"/>
      <c r="H224" s="23"/>
      <c r="I224" s="23"/>
      <c r="J224" s="24"/>
      <c r="K224" s="24"/>
      <c r="L224" s="25"/>
      <c r="M224" s="26"/>
      <c r="N224" s="22"/>
      <c r="O224" s="22"/>
    </row>
    <row r="225" spans="1:18" x14ac:dyDescent="0.25">
      <c r="B225" s="2" t="s">
        <v>61</v>
      </c>
      <c r="C225" s="27">
        <f>+E218</f>
        <v>562.07379200000003</v>
      </c>
      <c r="D225" s="22"/>
      <c r="E225" s="28" t="s">
        <v>330</v>
      </c>
      <c r="G225" s="23"/>
      <c r="H225" s="23"/>
      <c r="I225" s="24"/>
      <c r="J225" s="24"/>
      <c r="K225" s="25"/>
      <c r="L225" s="26"/>
      <c r="M225" s="22"/>
      <c r="N225" s="22"/>
    </row>
    <row r="226" spans="1:18" x14ac:dyDescent="0.25">
      <c r="B226" s="2" t="s">
        <v>344</v>
      </c>
      <c r="C226" s="27" t="s">
        <v>345</v>
      </c>
    </row>
    <row r="228" spans="1:18" ht="26.25" x14ac:dyDescent="0.4">
      <c r="A228" s="34" t="s">
        <v>72</v>
      </c>
      <c r="B228" s="34" t="s">
        <v>94</v>
      </c>
      <c r="C228" s="1" t="s">
        <v>209</v>
      </c>
    </row>
    <row r="229" spans="1:18" x14ac:dyDescent="0.25">
      <c r="B229" s="112" t="s">
        <v>5</v>
      </c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</row>
    <row r="230" spans="1:18" x14ac:dyDescent="0.25">
      <c r="B230" s="2" t="s">
        <v>6</v>
      </c>
      <c r="C230" s="3" t="s">
        <v>7</v>
      </c>
      <c r="D230" s="4" t="s">
        <v>8</v>
      </c>
      <c r="E230" s="5" t="s">
        <v>9</v>
      </c>
      <c r="F230" s="5" t="s">
        <v>14</v>
      </c>
      <c r="G230" s="5" t="s">
        <v>10</v>
      </c>
      <c r="H230" s="5" t="s">
        <v>11</v>
      </c>
      <c r="I230" s="5" t="s">
        <v>148</v>
      </c>
      <c r="J230" s="5" t="s">
        <v>149</v>
      </c>
      <c r="K230" s="5" t="s">
        <v>12</v>
      </c>
      <c r="L230" s="5" t="s">
        <v>13</v>
      </c>
      <c r="M230" s="5" t="s">
        <v>40</v>
      </c>
      <c r="N230" s="5" t="s">
        <v>14</v>
      </c>
      <c r="O230" s="5" t="s">
        <v>15</v>
      </c>
      <c r="P230" s="5" t="s">
        <v>16</v>
      </c>
      <c r="Q230" s="5" t="s">
        <v>17</v>
      </c>
      <c r="R230" s="5" t="s">
        <v>18</v>
      </c>
    </row>
    <row r="231" spans="1:18" x14ac:dyDescent="0.25">
      <c r="B231" s="2" t="s">
        <v>19</v>
      </c>
      <c r="C231" s="6" t="s">
        <v>20</v>
      </c>
      <c r="D231" s="9">
        <v>61</v>
      </c>
      <c r="E231" s="9" t="s">
        <v>41</v>
      </c>
      <c r="F231" s="43">
        <v>0.12</v>
      </c>
      <c r="G231" s="7" t="s">
        <v>104</v>
      </c>
      <c r="H231" s="51">
        <v>1.45</v>
      </c>
      <c r="I231" s="51">
        <f>+IF(F231=0%,D231*H231,0)</f>
        <v>0</v>
      </c>
      <c r="J231" s="51">
        <f>+IF(F231=12%,D231*H231,0)</f>
        <v>88.45</v>
      </c>
      <c r="K231" s="52">
        <v>0</v>
      </c>
      <c r="L231" s="53">
        <v>0</v>
      </c>
      <c r="M231" s="53">
        <f>+J231*K231</f>
        <v>0</v>
      </c>
      <c r="N231" s="53">
        <f>+(J231-M231)*F231</f>
        <v>10.614000000000001</v>
      </c>
      <c r="O231" s="53">
        <f>+J231-M231+N231</f>
        <v>99.064000000000007</v>
      </c>
      <c r="P231" s="7" t="s">
        <v>45</v>
      </c>
      <c r="Q231" s="7" t="s">
        <v>46</v>
      </c>
      <c r="R231" s="7" t="s">
        <v>45</v>
      </c>
    </row>
    <row r="232" spans="1:18" x14ac:dyDescent="0.25">
      <c r="B232" s="2" t="s">
        <v>21</v>
      </c>
      <c r="C232" s="15" t="s">
        <v>22</v>
      </c>
      <c r="D232" s="9">
        <v>56.21</v>
      </c>
      <c r="E232" s="9" t="s">
        <v>42</v>
      </c>
      <c r="F232" s="43">
        <v>0.12</v>
      </c>
      <c r="G232" s="7" t="s">
        <v>106</v>
      </c>
      <c r="H232" s="51">
        <v>2.96</v>
      </c>
      <c r="I232" s="51">
        <f>+IF(F232=0%,D232*H232,0)</f>
        <v>0</v>
      </c>
      <c r="J232" s="51">
        <f>+IF(F232=12%,D232*H232,0)</f>
        <v>166.38159999999999</v>
      </c>
      <c r="K232" s="52">
        <v>0</v>
      </c>
      <c r="L232" s="53">
        <v>0</v>
      </c>
      <c r="M232" s="53">
        <f>+J232*K232</f>
        <v>0</v>
      </c>
      <c r="N232" s="53">
        <f>+(J232-M232)*F232</f>
        <v>19.965791999999997</v>
      </c>
      <c r="O232" s="53">
        <f>+J232-M232+N232</f>
        <v>186.34739199999999</v>
      </c>
      <c r="P232" s="7" t="s">
        <v>45</v>
      </c>
      <c r="Q232" s="9" t="s">
        <v>46</v>
      </c>
      <c r="R232" s="7" t="s">
        <v>45</v>
      </c>
    </row>
    <row r="233" spans="1:18" ht="30" x14ac:dyDescent="0.25">
      <c r="B233" s="2" t="s">
        <v>23</v>
      </c>
      <c r="C233" s="30" t="s">
        <v>70</v>
      </c>
      <c r="D233" s="13">
        <v>49</v>
      </c>
      <c r="E233" s="9" t="s">
        <v>43</v>
      </c>
      <c r="F233" s="43">
        <v>0.12</v>
      </c>
      <c r="G233" s="7" t="s">
        <v>108</v>
      </c>
      <c r="H233" s="51">
        <v>2.77</v>
      </c>
      <c r="I233" s="51">
        <f>+IF(F233=0%,D233*H233,0)</f>
        <v>0</v>
      </c>
      <c r="J233" s="51">
        <f>+IF(F233=12%,D233*H233,0)</f>
        <v>135.72999999999999</v>
      </c>
      <c r="K233" s="52">
        <v>0</v>
      </c>
      <c r="L233" s="53">
        <v>0</v>
      </c>
      <c r="M233" s="53">
        <f>+J233*K233</f>
        <v>0</v>
      </c>
      <c r="N233" s="53">
        <f>+(J233-M233)*F233</f>
        <v>16.287599999999998</v>
      </c>
      <c r="O233" s="53">
        <f>+J233-M233+N233</f>
        <v>152.01759999999999</v>
      </c>
      <c r="P233" s="7" t="s">
        <v>45</v>
      </c>
      <c r="Q233" s="9" t="s">
        <v>46</v>
      </c>
      <c r="R233" s="7" t="s">
        <v>45</v>
      </c>
    </row>
    <row r="234" spans="1:18" x14ac:dyDescent="0.25">
      <c r="B234" s="2" t="s">
        <v>26</v>
      </c>
      <c r="C234" s="12" t="s">
        <v>71</v>
      </c>
      <c r="D234" s="13">
        <v>12.2</v>
      </c>
      <c r="E234" s="9" t="s">
        <v>44</v>
      </c>
      <c r="F234" s="43">
        <v>0.12</v>
      </c>
      <c r="G234" s="7" t="s">
        <v>110</v>
      </c>
      <c r="H234" s="51">
        <v>1.25</v>
      </c>
      <c r="I234" s="51">
        <f>+IF(F234=0%,D234*H234,0)</f>
        <v>0</v>
      </c>
      <c r="J234" s="51">
        <f>+IF(F234=12%,D234*H234,0)</f>
        <v>15.25</v>
      </c>
      <c r="K234" s="52">
        <v>0</v>
      </c>
      <c r="L234" s="53">
        <v>0</v>
      </c>
      <c r="M234" s="53">
        <f>+J234*K234</f>
        <v>0</v>
      </c>
      <c r="N234" s="53">
        <f>+(J234-M234)*F234</f>
        <v>1.8299999999999998</v>
      </c>
      <c r="O234" s="53">
        <f>+J234-M234+N234</f>
        <v>17.079999999999998</v>
      </c>
      <c r="P234" s="7" t="s">
        <v>45</v>
      </c>
      <c r="Q234" s="9" t="s">
        <v>46</v>
      </c>
      <c r="R234" s="7" t="s">
        <v>45</v>
      </c>
    </row>
    <row r="235" spans="1:18" x14ac:dyDescent="0.25">
      <c r="B235" s="2" t="s">
        <v>27</v>
      </c>
      <c r="C235" s="3" t="s">
        <v>28</v>
      </c>
      <c r="D235" s="13"/>
      <c r="E235" s="9"/>
      <c r="F235" s="9"/>
      <c r="G235" s="9"/>
      <c r="H235" s="10"/>
      <c r="I235" s="10"/>
      <c r="J235" s="10"/>
      <c r="K235" s="10"/>
      <c r="L235" s="9"/>
      <c r="M235" s="10"/>
      <c r="N235" s="10"/>
      <c r="O235" s="11"/>
      <c r="P235" s="7"/>
      <c r="Q235" s="9"/>
      <c r="R235" s="7"/>
    </row>
    <row r="236" spans="1:18" ht="15.75" thickBot="1" x14ac:dyDescent="0.3">
      <c r="B236" s="2" t="s">
        <v>29</v>
      </c>
      <c r="C236" s="3">
        <v>1</v>
      </c>
      <c r="D236" s="13"/>
      <c r="E236" s="9"/>
      <c r="F236" s="9"/>
      <c r="G236" s="9"/>
      <c r="H236" s="10"/>
      <c r="I236" s="10"/>
      <c r="J236" s="10"/>
      <c r="K236" s="10"/>
      <c r="L236" s="9"/>
      <c r="M236" s="10"/>
      <c r="N236" s="10"/>
      <c r="O236" s="11"/>
      <c r="P236" s="9"/>
      <c r="Q236" s="9"/>
      <c r="R236" s="7"/>
    </row>
    <row r="237" spans="1:18" ht="15.75" thickBot="1" x14ac:dyDescent="0.3">
      <c r="B237" s="2" t="s">
        <v>30</v>
      </c>
      <c r="C237" s="7">
        <v>1120335551</v>
      </c>
      <c r="D237" s="16" t="s">
        <v>34</v>
      </c>
      <c r="E237" s="40">
        <f>+SUM(I231:I234)</f>
        <v>0</v>
      </c>
    </row>
    <row r="238" spans="1:18" ht="15.75" thickBot="1" x14ac:dyDescent="0.3">
      <c r="B238" s="2" t="s">
        <v>31</v>
      </c>
      <c r="C238" s="14">
        <v>43497</v>
      </c>
      <c r="D238" s="16" t="s">
        <v>36</v>
      </c>
      <c r="E238" s="17">
        <f>+SUM(J231:J236)</f>
        <v>405.8116</v>
      </c>
    </row>
    <row r="239" spans="1:18" ht="15.75" thickBot="1" x14ac:dyDescent="0.3">
      <c r="B239" s="2" t="s">
        <v>32</v>
      </c>
      <c r="C239" s="15" t="s">
        <v>33</v>
      </c>
      <c r="D239" s="16" t="s">
        <v>39</v>
      </c>
      <c r="E239" s="17">
        <f>SUM(M231:M236)</f>
        <v>0</v>
      </c>
    </row>
    <row r="240" spans="1:18" ht="15.75" thickBot="1" x14ac:dyDescent="0.3">
      <c r="B240" s="2" t="s">
        <v>35</v>
      </c>
      <c r="C240" s="15" t="s">
        <v>33</v>
      </c>
      <c r="D240" s="16" t="s">
        <v>14</v>
      </c>
      <c r="E240" s="17">
        <f>SUM(N231:N236)</f>
        <v>48.697391999999994</v>
      </c>
    </row>
    <row r="241" spans="1:18" ht="15.75" thickBot="1" x14ac:dyDescent="0.3">
      <c r="B241" s="2" t="s">
        <v>37</v>
      </c>
      <c r="C241" s="15" t="s">
        <v>248</v>
      </c>
      <c r="D241" s="16" t="s">
        <v>15</v>
      </c>
      <c r="E241" s="17">
        <f>SUM(O231:O236)</f>
        <v>454.50899199999998</v>
      </c>
    </row>
    <row r="242" spans="1:18" x14ac:dyDescent="0.25">
      <c r="B242" s="18"/>
      <c r="C242" s="18"/>
    </row>
    <row r="244" spans="1:18" x14ac:dyDescent="0.25">
      <c r="B244" s="114" t="s">
        <v>207</v>
      </c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</row>
    <row r="245" spans="1:18" x14ac:dyDescent="0.25">
      <c r="B245" s="2" t="s">
        <v>86</v>
      </c>
      <c r="C245" s="21" t="s">
        <v>87</v>
      </c>
    </row>
    <row r="246" spans="1:18" x14ac:dyDescent="0.25">
      <c r="B246" s="2" t="s">
        <v>59</v>
      </c>
      <c r="C246" s="21" t="s">
        <v>90</v>
      </c>
    </row>
    <row r="247" spans="1:18" x14ac:dyDescent="0.25">
      <c r="B247" s="2" t="s">
        <v>60</v>
      </c>
      <c r="C247" s="21" t="s">
        <v>91</v>
      </c>
      <c r="E247" s="28" t="s">
        <v>279</v>
      </c>
    </row>
    <row r="248" spans="1:18" x14ac:dyDescent="0.25">
      <c r="B248" s="2" t="s">
        <v>61</v>
      </c>
      <c r="C248" s="27">
        <f>+E241</f>
        <v>454.50899199999998</v>
      </c>
      <c r="E248" s="109" t="s">
        <v>330</v>
      </c>
    </row>
    <row r="249" spans="1:18" x14ac:dyDescent="0.25">
      <c r="B249" s="2" t="s">
        <v>344</v>
      </c>
      <c r="C249" s="27" t="s">
        <v>345</v>
      </c>
    </row>
    <row r="251" spans="1:18" ht="26.25" x14ac:dyDescent="0.4">
      <c r="A251" s="34" t="s">
        <v>3</v>
      </c>
      <c r="B251" s="34" t="s">
        <v>140</v>
      </c>
      <c r="C251" s="1" t="s">
        <v>210</v>
      </c>
    </row>
    <row r="252" spans="1:18" x14ac:dyDescent="0.25">
      <c r="B252" s="112" t="s">
        <v>5</v>
      </c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</row>
    <row r="253" spans="1:18" x14ac:dyDescent="0.25">
      <c r="B253" s="2" t="s">
        <v>6</v>
      </c>
      <c r="C253" s="3" t="s">
        <v>67</v>
      </c>
      <c r="D253" s="4" t="s">
        <v>8</v>
      </c>
      <c r="E253" s="5" t="s">
        <v>9</v>
      </c>
      <c r="F253" s="5" t="s">
        <v>14</v>
      </c>
      <c r="G253" s="5" t="s">
        <v>10</v>
      </c>
      <c r="H253" s="5" t="s">
        <v>11</v>
      </c>
      <c r="I253" s="5" t="s">
        <v>148</v>
      </c>
      <c r="J253" s="5" t="s">
        <v>149</v>
      </c>
      <c r="K253" s="5" t="s">
        <v>12</v>
      </c>
      <c r="L253" s="5" t="s">
        <v>13</v>
      </c>
      <c r="M253" s="5" t="s">
        <v>40</v>
      </c>
      <c r="N253" s="5" t="s">
        <v>14</v>
      </c>
      <c r="O253" s="5" t="s">
        <v>15</v>
      </c>
      <c r="P253" s="5" t="s">
        <v>16</v>
      </c>
      <c r="Q253" s="5" t="s">
        <v>17</v>
      </c>
      <c r="R253" s="5" t="s">
        <v>18</v>
      </c>
    </row>
    <row r="254" spans="1:18" x14ac:dyDescent="0.25">
      <c r="B254" s="2" t="s">
        <v>19</v>
      </c>
      <c r="C254" s="15" t="s">
        <v>68</v>
      </c>
      <c r="D254" s="7">
        <v>118.47</v>
      </c>
      <c r="E254" s="9" t="s">
        <v>95</v>
      </c>
      <c r="F254" s="43">
        <v>0.12</v>
      </c>
      <c r="G254" s="35" t="s">
        <v>99</v>
      </c>
      <c r="H254" s="51">
        <v>1.47</v>
      </c>
      <c r="I254" s="51">
        <f>+IF(F254=0%,D254*H254,0)</f>
        <v>0</v>
      </c>
      <c r="J254" s="51">
        <f>+IF(F254=12%,D254*H254,0)</f>
        <v>174.15090000000001</v>
      </c>
      <c r="K254" s="52">
        <v>0</v>
      </c>
      <c r="L254" s="53">
        <v>0</v>
      </c>
      <c r="M254" s="53">
        <f>+J254*K254</f>
        <v>0</v>
      </c>
      <c r="N254" s="53">
        <f>+(J254-M254)*F254</f>
        <v>20.898108000000001</v>
      </c>
      <c r="O254" s="53">
        <f>+J254-M254+N254</f>
        <v>195.04900800000001</v>
      </c>
      <c r="P254" s="7" t="s">
        <v>45</v>
      </c>
      <c r="Q254" s="7" t="s">
        <v>46</v>
      </c>
      <c r="R254" s="7" t="s">
        <v>45</v>
      </c>
    </row>
    <row r="255" spans="1:18" x14ac:dyDescent="0.25">
      <c r="B255" s="2" t="s">
        <v>21</v>
      </c>
      <c r="C255" s="15" t="s">
        <v>22</v>
      </c>
      <c r="D255" s="7">
        <v>249.58</v>
      </c>
      <c r="E255" s="9" t="s">
        <v>96</v>
      </c>
      <c r="F255" s="43">
        <v>0.12</v>
      </c>
      <c r="G255" s="35" t="s">
        <v>100</v>
      </c>
      <c r="H255" s="51">
        <v>2.96</v>
      </c>
      <c r="I255" s="51">
        <f>+IF(F255=0%,D255*H255,0)</f>
        <v>0</v>
      </c>
      <c r="J255" s="51">
        <f>+IF(F255=12%,D255*H255,0)</f>
        <v>738.7568</v>
      </c>
      <c r="K255" s="52">
        <v>0</v>
      </c>
      <c r="L255" s="53">
        <v>0</v>
      </c>
      <c r="M255" s="53">
        <f>+J255*K255</f>
        <v>0</v>
      </c>
      <c r="N255" s="53">
        <f>+(J255-M255)*F255</f>
        <v>88.650815999999992</v>
      </c>
      <c r="O255" s="53">
        <f>+J255-M255+N255</f>
        <v>827.40761599999996</v>
      </c>
      <c r="P255" s="7" t="s">
        <v>45</v>
      </c>
      <c r="Q255" s="9" t="s">
        <v>46</v>
      </c>
      <c r="R255" s="7" t="s">
        <v>45</v>
      </c>
    </row>
    <row r="256" spans="1:18" ht="30" x14ac:dyDescent="0.25">
      <c r="B256" s="2" t="s">
        <v>23</v>
      </c>
      <c r="C256" s="30" t="s">
        <v>70</v>
      </c>
      <c r="D256" s="7">
        <v>73.540000000000006</v>
      </c>
      <c r="E256" s="9" t="s">
        <v>97</v>
      </c>
      <c r="F256" s="43">
        <v>0.12</v>
      </c>
      <c r="G256" s="35" t="s">
        <v>101</v>
      </c>
      <c r="H256" s="51">
        <v>3.15</v>
      </c>
      <c r="I256" s="51">
        <f>+IF(F256=0%,D256*H256,0)</f>
        <v>0</v>
      </c>
      <c r="J256" s="51">
        <f>+IF(F256=12%,D256*H256,0)</f>
        <v>231.65100000000001</v>
      </c>
      <c r="K256" s="52">
        <v>0</v>
      </c>
      <c r="L256" s="53">
        <v>0</v>
      </c>
      <c r="M256" s="53">
        <f>+J256*K256</f>
        <v>0</v>
      </c>
      <c r="N256" s="53">
        <f>+(J256-M256)*F256</f>
        <v>27.798120000000001</v>
      </c>
      <c r="O256" s="53">
        <f>+J256-M256+N256</f>
        <v>259.44911999999999</v>
      </c>
      <c r="P256" s="7" t="s">
        <v>45</v>
      </c>
      <c r="Q256" s="9" t="s">
        <v>46</v>
      </c>
      <c r="R256" s="7" t="s">
        <v>45</v>
      </c>
    </row>
    <row r="257" spans="2:18" x14ac:dyDescent="0.25">
      <c r="B257" s="2" t="s">
        <v>26</v>
      </c>
      <c r="C257" s="12" t="s">
        <v>71</v>
      </c>
      <c r="D257" s="7">
        <v>29</v>
      </c>
      <c r="E257" s="9" t="s">
        <v>98</v>
      </c>
      <c r="F257" s="43">
        <v>0.12</v>
      </c>
      <c r="G257" s="35" t="s">
        <v>102</v>
      </c>
      <c r="H257" s="51">
        <v>1.25</v>
      </c>
      <c r="I257" s="51">
        <f>+IF(F257=0%,D257*H257,0)</f>
        <v>0</v>
      </c>
      <c r="J257" s="51">
        <f>+IF(F257=12%,D257*H257,0)</f>
        <v>36.25</v>
      </c>
      <c r="K257" s="52">
        <v>0</v>
      </c>
      <c r="L257" s="53">
        <v>0</v>
      </c>
      <c r="M257" s="53">
        <f>+J257*K257</f>
        <v>0</v>
      </c>
      <c r="N257" s="53">
        <f>+(J257-M257)*F257</f>
        <v>4.3499999999999996</v>
      </c>
      <c r="O257" s="53">
        <f>+J257-M257+N257</f>
        <v>40.6</v>
      </c>
      <c r="P257" s="7" t="s">
        <v>45</v>
      </c>
      <c r="Q257" s="9" t="s">
        <v>46</v>
      </c>
      <c r="R257" s="7" t="s">
        <v>45</v>
      </c>
    </row>
    <row r="258" spans="2:18" x14ac:dyDescent="0.25">
      <c r="B258" s="2" t="s">
        <v>27</v>
      </c>
      <c r="C258" s="3" t="s">
        <v>28</v>
      </c>
      <c r="D258" s="13"/>
      <c r="E258" s="9"/>
      <c r="F258" s="9"/>
      <c r="G258" s="9"/>
      <c r="H258" s="10"/>
      <c r="I258" s="10"/>
      <c r="J258" s="10"/>
      <c r="K258" s="10"/>
      <c r="L258" s="9"/>
      <c r="M258" s="10"/>
      <c r="N258" s="10"/>
      <c r="O258" s="11"/>
      <c r="P258" s="7"/>
      <c r="Q258" s="9"/>
      <c r="R258" s="7"/>
    </row>
    <row r="259" spans="2:18" ht="15.75" thickBot="1" x14ac:dyDescent="0.3">
      <c r="B259" s="2" t="s">
        <v>29</v>
      </c>
      <c r="C259" s="3">
        <v>1</v>
      </c>
      <c r="D259" s="13"/>
      <c r="E259" s="9"/>
      <c r="F259" s="9"/>
      <c r="G259" s="9"/>
      <c r="H259" s="10"/>
      <c r="I259" s="10"/>
      <c r="J259" s="10"/>
      <c r="K259" s="10"/>
      <c r="L259" s="9"/>
      <c r="M259" s="10"/>
      <c r="N259" s="10"/>
      <c r="O259" s="11"/>
      <c r="P259" s="9"/>
      <c r="Q259" s="9"/>
      <c r="R259" s="7"/>
    </row>
    <row r="260" spans="2:18" ht="15.75" thickBot="1" x14ac:dyDescent="0.3">
      <c r="B260" s="2" t="s">
        <v>30</v>
      </c>
      <c r="C260" s="7">
        <v>1122728319</v>
      </c>
      <c r="D260" s="16" t="s">
        <v>34</v>
      </c>
      <c r="E260" s="40">
        <f>+SUM(I254:I257)</f>
        <v>0</v>
      </c>
    </row>
    <row r="261" spans="2:18" ht="15.75" thickBot="1" x14ac:dyDescent="0.3">
      <c r="B261" s="2" t="s">
        <v>31</v>
      </c>
      <c r="C261" s="14">
        <v>43498</v>
      </c>
      <c r="D261" s="16" t="s">
        <v>36</v>
      </c>
      <c r="E261" s="17">
        <f>+SUM(J254:J259)</f>
        <v>1180.8087</v>
      </c>
    </row>
    <row r="262" spans="2:18" ht="15.75" thickBot="1" x14ac:dyDescent="0.3">
      <c r="B262" s="2" t="s">
        <v>32</v>
      </c>
      <c r="C262" s="15" t="s">
        <v>33</v>
      </c>
      <c r="D262" s="16" t="s">
        <v>39</v>
      </c>
      <c r="E262" s="17">
        <f>SUM(M254:M259)</f>
        <v>0</v>
      </c>
    </row>
    <row r="263" spans="2:18" ht="15.75" thickBot="1" x14ac:dyDescent="0.3">
      <c r="B263" s="2" t="s">
        <v>35</v>
      </c>
      <c r="C263" s="15" t="s">
        <v>33</v>
      </c>
      <c r="D263" s="16" t="s">
        <v>14</v>
      </c>
      <c r="E263" s="17">
        <f>SUM(N254:N259)</f>
        <v>141.69704400000001</v>
      </c>
    </row>
    <row r="264" spans="2:18" ht="15.75" thickBot="1" x14ac:dyDescent="0.3">
      <c r="B264" s="2" t="s">
        <v>37</v>
      </c>
      <c r="C264" s="15" t="s">
        <v>249</v>
      </c>
      <c r="D264" s="16" t="s">
        <v>15</v>
      </c>
      <c r="E264" s="17">
        <f>SUM(O254:O259)</f>
        <v>1322.5057439999998</v>
      </c>
    </row>
    <row r="265" spans="2:18" x14ac:dyDescent="0.25">
      <c r="B265" s="18"/>
      <c r="C265" s="18"/>
    </row>
    <row r="266" spans="2:18" x14ac:dyDescent="0.25">
      <c r="B266" s="18"/>
      <c r="C266" s="18"/>
    </row>
    <row r="267" spans="2:18" x14ac:dyDescent="0.25">
      <c r="B267" s="114" t="s">
        <v>207</v>
      </c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</row>
    <row r="268" spans="2:18" x14ac:dyDescent="0.25">
      <c r="B268" s="2" t="s">
        <v>86</v>
      </c>
      <c r="C268" s="21" t="s">
        <v>143</v>
      </c>
    </row>
    <row r="269" spans="2:18" x14ac:dyDescent="0.25">
      <c r="B269" s="2" t="s">
        <v>58</v>
      </c>
      <c r="C269" s="21" t="s">
        <v>144</v>
      </c>
    </row>
    <row r="270" spans="2:18" x14ac:dyDescent="0.25">
      <c r="B270" s="2" t="s">
        <v>60</v>
      </c>
      <c r="C270" s="21" t="s">
        <v>74</v>
      </c>
      <c r="E270" s="31" t="s">
        <v>279</v>
      </c>
    </row>
    <row r="271" spans="2:18" x14ac:dyDescent="0.25">
      <c r="B271" s="2" t="s">
        <v>61</v>
      </c>
      <c r="C271" s="27">
        <f>+E264</f>
        <v>1322.5057439999998</v>
      </c>
      <c r="E271" s="31" t="s">
        <v>330</v>
      </c>
    </row>
    <row r="272" spans="2:18" x14ac:dyDescent="0.25">
      <c r="B272" s="2" t="s">
        <v>344</v>
      </c>
      <c r="C272" s="27" t="s">
        <v>345</v>
      </c>
    </row>
    <row r="274" spans="1:18" ht="26.25" x14ac:dyDescent="0.4">
      <c r="A274" s="34" t="s">
        <v>3</v>
      </c>
      <c r="B274" s="34" t="s">
        <v>142</v>
      </c>
      <c r="C274" s="1" t="s">
        <v>211</v>
      </c>
    </row>
    <row r="275" spans="1:18" x14ac:dyDescent="0.25">
      <c r="B275" s="112" t="s">
        <v>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</row>
    <row r="276" spans="1:18" x14ac:dyDescent="0.25">
      <c r="B276" s="2" t="s">
        <v>6</v>
      </c>
      <c r="C276" s="3" t="s">
        <v>67</v>
      </c>
      <c r="D276" s="4" t="s">
        <v>8</v>
      </c>
      <c r="E276" s="5" t="s">
        <v>9</v>
      </c>
      <c r="F276" s="5" t="s">
        <v>14</v>
      </c>
      <c r="G276" s="5" t="s">
        <v>10</v>
      </c>
      <c r="H276" s="5" t="s">
        <v>11</v>
      </c>
      <c r="I276" s="5" t="s">
        <v>148</v>
      </c>
      <c r="J276" s="5" t="s">
        <v>149</v>
      </c>
      <c r="K276" s="5" t="s">
        <v>12</v>
      </c>
      <c r="L276" s="5" t="s">
        <v>13</v>
      </c>
      <c r="M276" s="5" t="s">
        <v>40</v>
      </c>
      <c r="N276" s="5" t="s">
        <v>14</v>
      </c>
      <c r="O276" s="5" t="s">
        <v>15</v>
      </c>
      <c r="P276" s="5" t="s">
        <v>16</v>
      </c>
      <c r="Q276" s="5" t="s">
        <v>17</v>
      </c>
      <c r="R276" s="5" t="s">
        <v>18</v>
      </c>
    </row>
    <row r="277" spans="1:18" x14ac:dyDescent="0.25">
      <c r="B277" s="2" t="s">
        <v>19</v>
      </c>
      <c r="C277" s="15" t="s">
        <v>68</v>
      </c>
      <c r="D277" s="7">
        <v>118.47</v>
      </c>
      <c r="E277" s="9" t="s">
        <v>95</v>
      </c>
      <c r="F277" s="43">
        <v>0.12</v>
      </c>
      <c r="G277" s="35" t="s">
        <v>99</v>
      </c>
      <c r="H277" s="51">
        <v>1.47</v>
      </c>
      <c r="I277" s="51">
        <f>+IF(F277=0%,D277*H277,0)</f>
        <v>0</v>
      </c>
      <c r="J277" s="51">
        <f>+IF(F277=12%,D277*H277,0)</f>
        <v>174.15090000000001</v>
      </c>
      <c r="K277" s="52">
        <v>0</v>
      </c>
      <c r="L277" s="53">
        <v>0</v>
      </c>
      <c r="M277" s="53">
        <f>+J277*K277</f>
        <v>0</v>
      </c>
      <c r="N277" s="53">
        <f>+(J277-M277)*F277</f>
        <v>20.898108000000001</v>
      </c>
      <c r="O277" s="53">
        <f>+J277-M277+N277</f>
        <v>195.04900800000001</v>
      </c>
      <c r="P277" s="7" t="s">
        <v>45</v>
      </c>
      <c r="Q277" s="7" t="s">
        <v>46</v>
      </c>
      <c r="R277" s="7" t="s">
        <v>45</v>
      </c>
    </row>
    <row r="278" spans="1:18" x14ac:dyDescent="0.25">
      <c r="B278" s="2" t="s">
        <v>21</v>
      </c>
      <c r="C278" s="15" t="s">
        <v>22</v>
      </c>
      <c r="D278" s="7">
        <v>249.58</v>
      </c>
      <c r="E278" s="9" t="s">
        <v>96</v>
      </c>
      <c r="F278" s="43">
        <v>0.12</v>
      </c>
      <c r="G278" s="35" t="s">
        <v>100</v>
      </c>
      <c r="H278" s="51">
        <v>2.96</v>
      </c>
      <c r="I278" s="51">
        <f>+IF(F278=0%,D278*H278,0)</f>
        <v>0</v>
      </c>
      <c r="J278" s="51">
        <f>+IF(F278=12%,D278*H278,0)</f>
        <v>738.7568</v>
      </c>
      <c r="K278" s="52">
        <v>0</v>
      </c>
      <c r="L278" s="53">
        <v>0</v>
      </c>
      <c r="M278" s="53">
        <f>+J278*K278</f>
        <v>0</v>
      </c>
      <c r="N278" s="53">
        <f>+(J278-M278)*F278</f>
        <v>88.650815999999992</v>
      </c>
      <c r="O278" s="53">
        <f>+J278-M278+N278</f>
        <v>827.40761599999996</v>
      </c>
      <c r="P278" s="7" t="s">
        <v>45</v>
      </c>
      <c r="Q278" s="9" t="s">
        <v>46</v>
      </c>
      <c r="R278" s="7" t="s">
        <v>45</v>
      </c>
    </row>
    <row r="279" spans="1:18" ht="30" x14ac:dyDescent="0.25">
      <c r="B279" s="2" t="s">
        <v>23</v>
      </c>
      <c r="C279" s="30" t="s">
        <v>70</v>
      </c>
      <c r="D279" s="7">
        <v>73.540000000000006</v>
      </c>
      <c r="E279" s="9" t="s">
        <v>97</v>
      </c>
      <c r="F279" s="43">
        <v>0.12</v>
      </c>
      <c r="G279" s="35" t="s">
        <v>101</v>
      </c>
      <c r="H279" s="51">
        <v>3.15</v>
      </c>
      <c r="I279" s="51">
        <f>+IF(F279=0%,D279*H279,0)</f>
        <v>0</v>
      </c>
      <c r="J279" s="51">
        <f>+IF(F279=12%,D279*H279,0)</f>
        <v>231.65100000000001</v>
      </c>
      <c r="K279" s="52">
        <v>0</v>
      </c>
      <c r="L279" s="53">
        <v>0</v>
      </c>
      <c r="M279" s="53">
        <f>+J279*K279</f>
        <v>0</v>
      </c>
      <c r="N279" s="53">
        <f>+(J279-M279)*F279</f>
        <v>27.798120000000001</v>
      </c>
      <c r="O279" s="53">
        <f>+J279-M279+N279</f>
        <v>259.44911999999999</v>
      </c>
      <c r="P279" s="7" t="s">
        <v>45</v>
      </c>
      <c r="Q279" s="9" t="s">
        <v>46</v>
      </c>
      <c r="R279" s="7" t="s">
        <v>45</v>
      </c>
    </row>
    <row r="280" spans="1:18" x14ac:dyDescent="0.25">
      <c r="B280" s="2" t="s">
        <v>26</v>
      </c>
      <c r="C280" s="12" t="s">
        <v>71</v>
      </c>
      <c r="D280" s="7">
        <v>29</v>
      </c>
      <c r="E280" s="9" t="s">
        <v>98</v>
      </c>
      <c r="F280" s="43">
        <v>0.12</v>
      </c>
      <c r="G280" s="35" t="s">
        <v>102</v>
      </c>
      <c r="H280" s="51">
        <v>1.25</v>
      </c>
      <c r="I280" s="51">
        <f>+IF(F280=0%,D280*H280,0)</f>
        <v>0</v>
      </c>
      <c r="J280" s="51">
        <f>+IF(F280=12%,D280*H280,0)</f>
        <v>36.25</v>
      </c>
      <c r="K280" s="52">
        <v>0</v>
      </c>
      <c r="L280" s="53">
        <v>0</v>
      </c>
      <c r="M280" s="53">
        <f>+J280*K280</f>
        <v>0</v>
      </c>
      <c r="N280" s="53">
        <f>+(J280-M280)*F280</f>
        <v>4.3499999999999996</v>
      </c>
      <c r="O280" s="53">
        <f>+J280-M280+N280</f>
        <v>40.6</v>
      </c>
      <c r="P280" s="7" t="s">
        <v>45</v>
      </c>
      <c r="Q280" s="9" t="s">
        <v>46</v>
      </c>
      <c r="R280" s="7" t="s">
        <v>45</v>
      </c>
    </row>
    <row r="281" spans="1:18" x14ac:dyDescent="0.25">
      <c r="B281" s="2" t="s">
        <v>27</v>
      </c>
      <c r="C281" s="3" t="s">
        <v>28</v>
      </c>
      <c r="D281" s="13"/>
      <c r="E281" s="9"/>
      <c r="F281" s="9"/>
      <c r="G281" s="9"/>
      <c r="H281" s="10"/>
      <c r="I281" s="10"/>
      <c r="J281" s="10"/>
      <c r="K281" s="10"/>
      <c r="L281" s="9"/>
      <c r="M281" s="10"/>
      <c r="N281" s="10"/>
      <c r="O281" s="11"/>
      <c r="P281" s="7"/>
      <c r="Q281" s="9"/>
      <c r="R281" s="7"/>
    </row>
    <row r="282" spans="1:18" ht="15.75" thickBot="1" x14ac:dyDescent="0.3">
      <c r="B282" s="2" t="s">
        <v>29</v>
      </c>
      <c r="C282" s="3">
        <v>1</v>
      </c>
      <c r="D282" s="13"/>
      <c r="E282" s="9"/>
      <c r="F282" s="9"/>
      <c r="G282" s="9"/>
      <c r="H282" s="10"/>
      <c r="I282" s="10"/>
      <c r="J282" s="10"/>
      <c r="K282" s="10"/>
      <c r="L282" s="9"/>
      <c r="M282" s="10"/>
      <c r="N282" s="10"/>
      <c r="O282" s="11"/>
      <c r="P282" s="9"/>
      <c r="Q282" s="9"/>
      <c r="R282" s="7"/>
    </row>
    <row r="283" spans="1:18" ht="15.75" thickBot="1" x14ac:dyDescent="0.3">
      <c r="B283" s="2" t="s">
        <v>30</v>
      </c>
      <c r="C283" s="7">
        <v>1122728319</v>
      </c>
      <c r="D283" s="16" t="s">
        <v>34</v>
      </c>
      <c r="E283" s="40">
        <f>+SUM(I277:I280)</f>
        <v>0</v>
      </c>
    </row>
    <row r="284" spans="1:18" ht="15.75" thickBot="1" x14ac:dyDescent="0.3">
      <c r="B284" s="2" t="s">
        <v>31</v>
      </c>
      <c r="C284" s="14">
        <v>43498</v>
      </c>
      <c r="D284" s="16" t="s">
        <v>36</v>
      </c>
      <c r="E284" s="17">
        <f>+SUM(J277:J282)</f>
        <v>1180.8087</v>
      </c>
    </row>
    <row r="285" spans="1:18" ht="15.75" thickBot="1" x14ac:dyDescent="0.3">
      <c r="B285" s="2" t="s">
        <v>32</v>
      </c>
      <c r="C285" s="15" t="s">
        <v>33</v>
      </c>
      <c r="D285" s="16" t="s">
        <v>39</v>
      </c>
      <c r="E285" s="17">
        <f>SUM(M277:M282)</f>
        <v>0</v>
      </c>
    </row>
    <row r="286" spans="1:18" ht="15.75" thickBot="1" x14ac:dyDescent="0.3">
      <c r="B286" s="2" t="s">
        <v>35</v>
      </c>
      <c r="C286" s="15" t="s">
        <v>33</v>
      </c>
      <c r="D286" s="16" t="s">
        <v>14</v>
      </c>
      <c r="E286" s="17">
        <f>SUM(N277:N282)</f>
        <v>141.69704400000001</v>
      </c>
    </row>
    <row r="287" spans="1:18" ht="15.75" thickBot="1" x14ac:dyDescent="0.3">
      <c r="B287" s="2" t="s">
        <v>37</v>
      </c>
      <c r="C287" s="15" t="s">
        <v>250</v>
      </c>
      <c r="D287" s="16" t="s">
        <v>15</v>
      </c>
      <c r="E287" s="17">
        <f>SUM(O277:O282)</f>
        <v>1322.5057439999998</v>
      </c>
    </row>
    <row r="288" spans="1:18" x14ac:dyDescent="0.25">
      <c r="B288" s="18"/>
      <c r="C288" s="18"/>
    </row>
    <row r="290" spans="1:18" x14ac:dyDescent="0.25">
      <c r="B290" s="114" t="s">
        <v>207</v>
      </c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</row>
    <row r="291" spans="1:18" x14ac:dyDescent="0.25">
      <c r="B291" s="2" t="s">
        <v>57</v>
      </c>
      <c r="C291" s="21" t="str">
        <f>+C285</f>
        <v>001</v>
      </c>
    </row>
    <row r="292" spans="1:18" x14ac:dyDescent="0.25">
      <c r="B292" s="2" t="s">
        <v>86</v>
      </c>
      <c r="C292" s="21" t="s">
        <v>143</v>
      </c>
      <c r="E292" s="31" t="s">
        <v>279</v>
      </c>
    </row>
    <row r="293" spans="1:18" x14ac:dyDescent="0.25">
      <c r="B293" s="2" t="s">
        <v>58</v>
      </c>
      <c r="C293" s="21" t="s">
        <v>73</v>
      </c>
      <c r="E293" s="31" t="s">
        <v>330</v>
      </c>
    </row>
    <row r="294" spans="1:18" x14ac:dyDescent="0.25">
      <c r="B294" s="2" t="s">
        <v>60</v>
      </c>
      <c r="C294" s="21" t="s">
        <v>74</v>
      </c>
      <c r="D294" s="9" t="s">
        <v>154</v>
      </c>
    </row>
    <row r="295" spans="1:18" x14ac:dyDescent="0.25">
      <c r="B295" s="2" t="s">
        <v>61</v>
      </c>
      <c r="C295" s="89">
        <f>+(E287)*D295</f>
        <v>396.75172319999996</v>
      </c>
      <c r="D295" s="43">
        <v>0.3</v>
      </c>
    </row>
    <row r="296" spans="1:18" x14ac:dyDescent="0.25">
      <c r="B296" s="2" t="s">
        <v>60</v>
      </c>
      <c r="C296" s="21" t="s">
        <v>75</v>
      </c>
      <c r="D296" s="9" t="s">
        <v>154</v>
      </c>
    </row>
    <row r="297" spans="1:18" x14ac:dyDescent="0.25">
      <c r="B297" s="2" t="s">
        <v>61</v>
      </c>
      <c r="C297" s="89">
        <f>+(E287)*D297</f>
        <v>396.75172319999996</v>
      </c>
      <c r="D297" s="43">
        <v>0.3</v>
      </c>
      <c r="E297" s="28"/>
      <c r="F297" s="28"/>
      <c r="H297" s="23"/>
      <c r="I297" s="23"/>
      <c r="J297" s="24"/>
      <c r="K297" s="24"/>
      <c r="L297" s="25"/>
      <c r="M297" s="26"/>
      <c r="N297" s="22"/>
      <c r="O297" s="22"/>
    </row>
    <row r="298" spans="1:18" x14ac:dyDescent="0.25">
      <c r="B298" s="2" t="s">
        <v>58</v>
      </c>
      <c r="C298" s="21" t="s">
        <v>76</v>
      </c>
      <c r="D298" s="9"/>
    </row>
    <row r="299" spans="1:18" x14ac:dyDescent="0.25">
      <c r="B299" s="2" t="s">
        <v>60</v>
      </c>
      <c r="C299" s="21" t="s">
        <v>89</v>
      </c>
      <c r="D299" s="9" t="s">
        <v>154</v>
      </c>
    </row>
    <row r="300" spans="1:18" x14ac:dyDescent="0.25">
      <c r="B300" s="2" t="s">
        <v>61</v>
      </c>
      <c r="C300" s="89">
        <f>+(E287)*D300</f>
        <v>529.00229759999991</v>
      </c>
      <c r="D300" s="43">
        <v>0.4</v>
      </c>
    </row>
    <row r="301" spans="1:18" x14ac:dyDescent="0.25">
      <c r="B301" s="2" t="s">
        <v>344</v>
      </c>
      <c r="C301" s="27" t="s">
        <v>345</v>
      </c>
    </row>
    <row r="302" spans="1:18" x14ac:dyDescent="0.25">
      <c r="C302" s="36"/>
    </row>
    <row r="303" spans="1:18" ht="26.25" x14ac:dyDescent="0.4">
      <c r="A303" s="34" t="s">
        <v>3</v>
      </c>
      <c r="B303" s="34" t="s">
        <v>145</v>
      </c>
      <c r="C303" s="1" t="s">
        <v>66</v>
      </c>
    </row>
    <row r="304" spans="1:18" x14ac:dyDescent="0.25">
      <c r="B304" s="112" t="s">
        <v>5</v>
      </c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</row>
    <row r="305" spans="2:18" x14ac:dyDescent="0.25">
      <c r="B305" s="2" t="s">
        <v>6</v>
      </c>
      <c r="C305" s="3" t="s">
        <v>67</v>
      </c>
      <c r="D305" s="4" t="s">
        <v>8</v>
      </c>
      <c r="E305" s="5" t="s">
        <v>9</v>
      </c>
      <c r="F305" s="5" t="s">
        <v>14</v>
      </c>
      <c r="G305" s="5" t="s">
        <v>10</v>
      </c>
      <c r="H305" s="5" t="s">
        <v>11</v>
      </c>
      <c r="I305" s="5" t="s">
        <v>148</v>
      </c>
      <c r="J305" s="5" t="s">
        <v>149</v>
      </c>
      <c r="K305" s="5" t="s">
        <v>12</v>
      </c>
      <c r="L305" s="5" t="s">
        <v>13</v>
      </c>
      <c r="M305" s="5" t="s">
        <v>40</v>
      </c>
      <c r="N305" s="5" t="s">
        <v>14</v>
      </c>
      <c r="O305" s="5" t="s">
        <v>15</v>
      </c>
      <c r="P305" s="5" t="s">
        <v>16</v>
      </c>
      <c r="Q305" s="5" t="s">
        <v>17</v>
      </c>
      <c r="R305" s="5" t="s">
        <v>18</v>
      </c>
    </row>
    <row r="306" spans="2:18" x14ac:dyDescent="0.25">
      <c r="B306" s="2" t="s">
        <v>19</v>
      </c>
      <c r="C306" s="15" t="s">
        <v>68</v>
      </c>
      <c r="D306" s="7">
        <v>118.47</v>
      </c>
      <c r="E306" s="9" t="s">
        <v>95</v>
      </c>
      <c r="F306" s="43">
        <v>0.12</v>
      </c>
      <c r="G306" s="35" t="s">
        <v>99</v>
      </c>
      <c r="H306" s="51">
        <v>1.47</v>
      </c>
      <c r="I306" s="51">
        <f>+IF(F306=0%,D306*H306,0)</f>
        <v>0</v>
      </c>
      <c r="J306" s="51">
        <f>+IF(F306=12%,D306*H306,0)</f>
        <v>174.15090000000001</v>
      </c>
      <c r="K306" s="52">
        <v>0</v>
      </c>
      <c r="L306" s="53">
        <v>0</v>
      </c>
      <c r="M306" s="53">
        <f>+J306*K306</f>
        <v>0</v>
      </c>
      <c r="N306" s="53">
        <f>+(J306-M306)*F306</f>
        <v>20.898108000000001</v>
      </c>
      <c r="O306" s="53">
        <f>+J306-M306+N306</f>
        <v>195.04900800000001</v>
      </c>
      <c r="P306" s="7" t="s">
        <v>45</v>
      </c>
      <c r="Q306" s="7" t="s">
        <v>46</v>
      </c>
      <c r="R306" s="7" t="s">
        <v>45</v>
      </c>
    </row>
    <row r="307" spans="2:18" x14ac:dyDescent="0.25">
      <c r="B307" s="2" t="s">
        <v>21</v>
      </c>
      <c r="C307" s="15" t="s">
        <v>22</v>
      </c>
      <c r="D307" s="7">
        <v>249.58</v>
      </c>
      <c r="E307" s="9" t="s">
        <v>96</v>
      </c>
      <c r="F307" s="43">
        <v>0.12</v>
      </c>
      <c r="G307" s="35" t="s">
        <v>100</v>
      </c>
      <c r="H307" s="51">
        <v>2.96</v>
      </c>
      <c r="I307" s="51">
        <f>+IF(F307=0%,D307*H307,0)</f>
        <v>0</v>
      </c>
      <c r="J307" s="51">
        <f>+IF(F307=12%,D307*H307,0)</f>
        <v>738.7568</v>
      </c>
      <c r="K307" s="52">
        <v>0</v>
      </c>
      <c r="L307" s="53">
        <v>0</v>
      </c>
      <c r="M307" s="53">
        <f>+J307*K307</f>
        <v>0</v>
      </c>
      <c r="N307" s="53">
        <f>+(J307-M307)*F307</f>
        <v>88.650815999999992</v>
      </c>
      <c r="O307" s="53">
        <f>+J307-M307+N307</f>
        <v>827.40761599999996</v>
      </c>
      <c r="P307" s="7" t="s">
        <v>45</v>
      </c>
      <c r="Q307" s="9" t="s">
        <v>46</v>
      </c>
      <c r="R307" s="7" t="s">
        <v>45</v>
      </c>
    </row>
    <row r="308" spans="2:18" ht="30" x14ac:dyDescent="0.25">
      <c r="B308" s="2" t="s">
        <v>23</v>
      </c>
      <c r="C308" s="30" t="s">
        <v>70</v>
      </c>
      <c r="D308" s="7">
        <v>73.540000000000006</v>
      </c>
      <c r="E308" s="9" t="s">
        <v>97</v>
      </c>
      <c r="F308" s="43">
        <v>0.12</v>
      </c>
      <c r="G308" s="35" t="s">
        <v>101</v>
      </c>
      <c r="H308" s="51">
        <v>3.15</v>
      </c>
      <c r="I308" s="51">
        <f>+IF(F308=0%,D308*H308,0)</f>
        <v>0</v>
      </c>
      <c r="J308" s="51">
        <f>+IF(F308=12%,D308*H308,0)</f>
        <v>231.65100000000001</v>
      </c>
      <c r="K308" s="52">
        <v>0</v>
      </c>
      <c r="L308" s="53">
        <v>0</v>
      </c>
      <c r="M308" s="53">
        <f>+J308*K308</f>
        <v>0</v>
      </c>
      <c r="N308" s="53">
        <f>+(J308-M308)*F308</f>
        <v>27.798120000000001</v>
      </c>
      <c r="O308" s="53">
        <f>+J308-M308+N308</f>
        <v>259.44911999999999</v>
      </c>
      <c r="P308" s="7" t="s">
        <v>45</v>
      </c>
      <c r="Q308" s="9" t="s">
        <v>46</v>
      </c>
      <c r="R308" s="7" t="s">
        <v>45</v>
      </c>
    </row>
    <row r="309" spans="2:18" x14ac:dyDescent="0.25">
      <c r="B309" s="2" t="s">
        <v>26</v>
      </c>
      <c r="C309" s="12" t="s">
        <v>71</v>
      </c>
      <c r="D309" s="7">
        <v>29</v>
      </c>
      <c r="E309" s="9" t="s">
        <v>98</v>
      </c>
      <c r="F309" s="43">
        <v>0.12</v>
      </c>
      <c r="G309" s="35" t="s">
        <v>102</v>
      </c>
      <c r="H309" s="51">
        <v>1.25</v>
      </c>
      <c r="I309" s="51">
        <f>+IF(F309=0%,D309*H309,0)</f>
        <v>0</v>
      </c>
      <c r="J309" s="51">
        <f>+IF(F309=12%,D309*H309,0)</f>
        <v>36.25</v>
      </c>
      <c r="K309" s="52">
        <v>0</v>
      </c>
      <c r="L309" s="53">
        <v>0</v>
      </c>
      <c r="M309" s="53">
        <f>+J309*K309</f>
        <v>0</v>
      </c>
      <c r="N309" s="53">
        <f>+(J309-M309)*F309</f>
        <v>4.3499999999999996</v>
      </c>
      <c r="O309" s="53">
        <f>+J309-M309+N309</f>
        <v>40.6</v>
      </c>
      <c r="P309" s="7" t="s">
        <v>45</v>
      </c>
      <c r="Q309" s="9" t="s">
        <v>46</v>
      </c>
      <c r="R309" s="7" t="s">
        <v>45</v>
      </c>
    </row>
    <row r="310" spans="2:18" x14ac:dyDescent="0.25">
      <c r="B310" s="2" t="s">
        <v>27</v>
      </c>
      <c r="C310" s="3" t="s">
        <v>28</v>
      </c>
      <c r="D310" s="13"/>
      <c r="E310" s="9"/>
      <c r="F310" s="9"/>
      <c r="G310" s="9"/>
      <c r="H310" s="10"/>
      <c r="I310" s="10"/>
      <c r="J310" s="10"/>
      <c r="K310" s="10"/>
      <c r="L310" s="9"/>
      <c r="M310" s="10"/>
      <c r="N310" s="10"/>
      <c r="O310" s="11"/>
      <c r="P310" s="7"/>
      <c r="Q310" s="9"/>
      <c r="R310" s="7"/>
    </row>
    <row r="311" spans="2:18" ht="15.75" thickBot="1" x14ac:dyDescent="0.3">
      <c r="B311" s="2" t="s">
        <v>29</v>
      </c>
      <c r="C311" s="3">
        <v>1</v>
      </c>
      <c r="D311" s="13"/>
      <c r="E311" s="9"/>
      <c r="F311" s="9"/>
      <c r="G311" s="9"/>
      <c r="H311" s="10"/>
      <c r="I311" s="10"/>
      <c r="J311" s="10"/>
      <c r="K311" s="10"/>
      <c r="L311" s="9"/>
      <c r="M311" s="10"/>
      <c r="N311" s="10"/>
      <c r="O311" s="11"/>
      <c r="P311" s="9"/>
      <c r="Q311" s="9"/>
      <c r="R311" s="7"/>
    </row>
    <row r="312" spans="2:18" ht="15.75" thickBot="1" x14ac:dyDescent="0.3">
      <c r="B312" s="2" t="s">
        <v>30</v>
      </c>
      <c r="C312" s="7">
        <v>1122728319</v>
      </c>
      <c r="D312" s="16" t="s">
        <v>34</v>
      </c>
      <c r="E312" s="40">
        <f>+SUM(I306:I309)</f>
        <v>0</v>
      </c>
    </row>
    <row r="313" spans="2:18" ht="15.75" thickBot="1" x14ac:dyDescent="0.3">
      <c r="B313" s="2" t="s">
        <v>31</v>
      </c>
      <c r="C313" s="14">
        <v>43498</v>
      </c>
      <c r="D313" s="16" t="s">
        <v>36</v>
      </c>
      <c r="E313" s="17">
        <f>+SUM(J306:J311)</f>
        <v>1180.8087</v>
      </c>
    </row>
    <row r="314" spans="2:18" ht="15.75" thickBot="1" x14ac:dyDescent="0.3">
      <c r="B314" s="2" t="s">
        <v>32</v>
      </c>
      <c r="C314" s="15" t="s">
        <v>33</v>
      </c>
      <c r="D314" s="16" t="s">
        <v>39</v>
      </c>
      <c r="E314" s="17">
        <f>SUM(M306:M311)</f>
        <v>0</v>
      </c>
    </row>
    <row r="315" spans="2:18" ht="15.75" thickBot="1" x14ac:dyDescent="0.3">
      <c r="B315" s="2" t="s">
        <v>35</v>
      </c>
      <c r="C315" s="15" t="s">
        <v>33</v>
      </c>
      <c r="D315" s="16" t="s">
        <v>14</v>
      </c>
      <c r="E315" s="17">
        <f>SUM(N306:N311)</f>
        <v>141.69704400000001</v>
      </c>
    </row>
    <row r="316" spans="2:18" ht="15.75" thickBot="1" x14ac:dyDescent="0.3">
      <c r="B316" s="2" t="s">
        <v>37</v>
      </c>
      <c r="C316" s="15" t="s">
        <v>251</v>
      </c>
      <c r="D316" s="16" t="s">
        <v>15</v>
      </c>
      <c r="E316" s="17">
        <f>SUM(O306:O311)</f>
        <v>1322.5057439999998</v>
      </c>
    </row>
    <row r="317" spans="2:18" x14ac:dyDescent="0.25">
      <c r="B317" s="2" t="s">
        <v>344</v>
      </c>
      <c r="C317" s="27" t="s">
        <v>84</v>
      </c>
    </row>
    <row r="319" spans="2:18" x14ac:dyDescent="0.25">
      <c r="B319" s="114" t="s">
        <v>47</v>
      </c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</row>
    <row r="320" spans="2:18" x14ac:dyDescent="0.25">
      <c r="B320" s="2" t="s">
        <v>86</v>
      </c>
      <c r="C320" s="21" t="s">
        <v>143</v>
      </c>
    </row>
    <row r="321" spans="1:18" x14ac:dyDescent="0.25">
      <c r="B321" s="2" t="s">
        <v>58</v>
      </c>
      <c r="C321" s="21" t="s">
        <v>73</v>
      </c>
    </row>
    <row r="322" spans="1:18" x14ac:dyDescent="0.25">
      <c r="B322" s="2" t="s">
        <v>60</v>
      </c>
      <c r="C322" s="21" t="s">
        <v>74</v>
      </c>
      <c r="D322" s="9" t="s">
        <v>154</v>
      </c>
    </row>
    <row r="323" spans="1:18" x14ac:dyDescent="0.25">
      <c r="B323" s="2" t="s">
        <v>61</v>
      </c>
      <c r="C323" s="27">
        <f>+(E316)*D323</f>
        <v>793.50344639999992</v>
      </c>
      <c r="D323" s="43">
        <v>0.6</v>
      </c>
      <c r="E323" s="31" t="s">
        <v>279</v>
      </c>
    </row>
    <row r="324" spans="1:18" x14ac:dyDescent="0.25">
      <c r="B324" s="2" t="s">
        <v>147</v>
      </c>
      <c r="C324" s="21" t="s">
        <v>84</v>
      </c>
      <c r="E324" s="110" t="s">
        <v>330</v>
      </c>
    </row>
    <row r="325" spans="1:18" x14ac:dyDescent="0.25">
      <c r="B325" s="2" t="s">
        <v>60</v>
      </c>
      <c r="C325" s="21" t="s">
        <v>85</v>
      </c>
      <c r="D325" s="9" t="s">
        <v>154</v>
      </c>
    </row>
    <row r="326" spans="1:18" x14ac:dyDescent="0.25">
      <c r="B326" s="2" t="s">
        <v>61</v>
      </c>
      <c r="C326" s="27">
        <f>+(E316)*D326</f>
        <v>529.00229759999991</v>
      </c>
      <c r="D326" s="43">
        <v>0.4</v>
      </c>
    </row>
    <row r="328" spans="1:18" s="71" customFormat="1" x14ac:dyDescent="0.25"/>
    <row r="329" spans="1:18" ht="26.25" x14ac:dyDescent="0.4">
      <c r="A329" s="34" t="s">
        <v>212</v>
      </c>
      <c r="B329" s="34" t="s">
        <v>92</v>
      </c>
      <c r="C329" s="1" t="s">
        <v>223</v>
      </c>
    </row>
    <row r="330" spans="1:18" x14ac:dyDescent="0.25">
      <c r="B330" s="112" t="s">
        <v>5</v>
      </c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</row>
    <row r="331" spans="1:18" x14ac:dyDescent="0.25">
      <c r="B331" s="2" t="s">
        <v>6</v>
      </c>
      <c r="C331" s="3" t="s">
        <v>77</v>
      </c>
      <c r="D331" s="4" t="s">
        <v>8</v>
      </c>
      <c r="E331" s="5" t="s">
        <v>9</v>
      </c>
      <c r="F331" s="5" t="s">
        <v>14</v>
      </c>
      <c r="G331" s="5" t="s">
        <v>10</v>
      </c>
      <c r="H331" s="5" t="s">
        <v>11</v>
      </c>
      <c r="I331" s="5" t="s">
        <v>148</v>
      </c>
      <c r="J331" s="5" t="s">
        <v>149</v>
      </c>
      <c r="K331" s="5" t="s">
        <v>12</v>
      </c>
      <c r="L331" s="5" t="s">
        <v>13</v>
      </c>
      <c r="M331" s="5" t="s">
        <v>40</v>
      </c>
      <c r="N331" s="5" t="s">
        <v>14</v>
      </c>
      <c r="O331" s="5" t="s">
        <v>15</v>
      </c>
      <c r="P331" s="5" t="s">
        <v>16</v>
      </c>
      <c r="Q331" s="5" t="s">
        <v>17</v>
      </c>
      <c r="R331" s="5" t="s">
        <v>18</v>
      </c>
    </row>
    <row r="332" spans="1:18" x14ac:dyDescent="0.25">
      <c r="B332" s="2" t="s">
        <v>19</v>
      </c>
      <c r="C332" s="15" t="s">
        <v>78</v>
      </c>
      <c r="D332" s="32">
        <v>15</v>
      </c>
      <c r="E332" s="9" t="s">
        <v>213</v>
      </c>
      <c r="F332" s="43">
        <v>0.12</v>
      </c>
      <c r="G332" s="7" t="s">
        <v>346</v>
      </c>
      <c r="H332" s="29">
        <v>2.9</v>
      </c>
      <c r="I332" s="51">
        <f>+IF(F332=0%,D332*H332,0)</f>
        <v>0</v>
      </c>
      <c r="J332" s="51">
        <f>+IF(F332=12%,D332*H332,0)</f>
        <v>43.5</v>
      </c>
      <c r="K332" s="52">
        <v>0</v>
      </c>
      <c r="L332" s="53">
        <v>0</v>
      </c>
      <c r="M332" s="53">
        <f>+J332*K332</f>
        <v>0</v>
      </c>
      <c r="N332" s="53">
        <f>+(J332-M332)*F332</f>
        <v>5.22</v>
      </c>
      <c r="O332" s="53">
        <f>+J332-M332+N332</f>
        <v>48.72</v>
      </c>
      <c r="P332" s="9" t="s">
        <v>80</v>
      </c>
      <c r="Q332" s="9" t="s">
        <v>81</v>
      </c>
      <c r="R332" s="7" t="s">
        <v>25</v>
      </c>
    </row>
    <row r="333" spans="1:18" x14ac:dyDescent="0.25">
      <c r="B333" s="2" t="s">
        <v>21</v>
      </c>
      <c r="C333" s="15" t="s">
        <v>22</v>
      </c>
      <c r="D333" s="32">
        <v>3</v>
      </c>
      <c r="E333" s="9" t="s">
        <v>214</v>
      </c>
      <c r="F333" s="43">
        <v>0.12</v>
      </c>
      <c r="G333" s="7" t="s">
        <v>347</v>
      </c>
      <c r="H333" s="29">
        <v>6</v>
      </c>
      <c r="I333" s="51">
        <f>+IF(F333=0%,D333*H333,0)</f>
        <v>0</v>
      </c>
      <c r="J333" s="51">
        <f>+IF(F333=12%,D333*H333,0)</f>
        <v>18</v>
      </c>
      <c r="K333" s="52">
        <v>0</v>
      </c>
      <c r="L333" s="53">
        <v>0</v>
      </c>
      <c r="M333" s="53">
        <f>+J333*K333</f>
        <v>0</v>
      </c>
      <c r="N333" s="53">
        <f>+(J333-M333)*F333</f>
        <v>2.16</v>
      </c>
      <c r="O333" s="53">
        <f>+J333-M333+N333</f>
        <v>20.16</v>
      </c>
      <c r="P333" s="9" t="s">
        <v>80</v>
      </c>
      <c r="Q333" s="9" t="s">
        <v>81</v>
      </c>
      <c r="R333" s="7" t="s">
        <v>25</v>
      </c>
    </row>
    <row r="334" spans="1:18" ht="30" x14ac:dyDescent="0.25">
      <c r="B334" s="2" t="s">
        <v>23</v>
      </c>
      <c r="C334" s="8" t="s">
        <v>24</v>
      </c>
      <c r="D334" s="32">
        <v>5</v>
      </c>
      <c r="E334" s="9" t="s">
        <v>215</v>
      </c>
      <c r="F334" s="43">
        <v>0.12</v>
      </c>
      <c r="G334" s="7" t="s">
        <v>348</v>
      </c>
      <c r="H334" s="29">
        <v>4</v>
      </c>
      <c r="I334" s="51">
        <f>+IF(F334=0%,D334*H334,0)</f>
        <v>0</v>
      </c>
      <c r="J334" s="51">
        <f>+IF(F334=12%,D334*H334,0)</f>
        <v>20</v>
      </c>
      <c r="K334" s="52">
        <v>0</v>
      </c>
      <c r="L334" s="53">
        <v>0</v>
      </c>
      <c r="M334" s="53">
        <f>+J334*K334</f>
        <v>0</v>
      </c>
      <c r="N334" s="53">
        <f>+(J334-M334)*F334</f>
        <v>2.4</v>
      </c>
      <c r="O334" s="53">
        <f>+J334-M334+N334</f>
        <v>22.4</v>
      </c>
      <c r="P334" s="9" t="s">
        <v>80</v>
      </c>
      <c r="Q334" s="9" t="s">
        <v>81</v>
      </c>
      <c r="R334" s="7" t="s">
        <v>25</v>
      </c>
    </row>
    <row r="335" spans="1:18" x14ac:dyDescent="0.25">
      <c r="B335" s="2" t="s">
        <v>26</v>
      </c>
      <c r="C335" s="12" t="s">
        <v>22</v>
      </c>
      <c r="D335" s="13"/>
      <c r="E335" s="9"/>
      <c r="F335" s="43"/>
      <c r="G335" s="7"/>
      <c r="H335" s="51"/>
      <c r="I335" s="51"/>
      <c r="J335" s="51"/>
      <c r="K335" s="52"/>
      <c r="L335" s="53"/>
      <c r="M335" s="53"/>
      <c r="N335" s="53"/>
      <c r="O335" s="53"/>
      <c r="P335" s="7"/>
      <c r="Q335" s="9"/>
      <c r="R335" s="7"/>
    </row>
    <row r="336" spans="1:18" x14ac:dyDescent="0.25">
      <c r="B336" s="2" t="s">
        <v>27</v>
      </c>
      <c r="C336" s="3" t="s">
        <v>28</v>
      </c>
      <c r="D336" s="9"/>
      <c r="E336" s="9"/>
      <c r="F336" s="9"/>
      <c r="G336" s="7"/>
      <c r="H336" s="10"/>
      <c r="I336" s="10"/>
      <c r="J336" s="10"/>
      <c r="K336" s="10"/>
      <c r="L336" s="9"/>
      <c r="M336" s="10"/>
      <c r="N336" s="10"/>
      <c r="O336" s="11"/>
      <c r="P336" s="7"/>
      <c r="Q336" s="9"/>
      <c r="R336" s="7"/>
    </row>
    <row r="337" spans="2:18" x14ac:dyDescent="0.25">
      <c r="B337" s="2" t="s">
        <v>29</v>
      </c>
      <c r="C337" s="3">
        <v>1</v>
      </c>
      <c r="D337" s="9"/>
      <c r="E337" s="9"/>
      <c r="F337" s="9"/>
      <c r="G337" s="9"/>
      <c r="H337" s="10"/>
      <c r="I337" s="10"/>
      <c r="J337" s="10"/>
      <c r="K337" s="10"/>
      <c r="L337" s="9"/>
      <c r="M337" s="10"/>
      <c r="N337" s="10"/>
      <c r="O337" s="11"/>
      <c r="P337" s="9"/>
      <c r="Q337" s="9"/>
      <c r="R337" s="7"/>
    </row>
    <row r="338" spans="2:18" ht="15.75" thickBot="1" x14ac:dyDescent="0.3">
      <c r="B338" s="2" t="s">
        <v>30</v>
      </c>
      <c r="C338" s="3">
        <v>1121355271</v>
      </c>
      <c r="D338" s="39" t="s">
        <v>148</v>
      </c>
      <c r="E338" s="49">
        <f>+SUM(I332:I335)</f>
        <v>0</v>
      </c>
      <c r="G338" s="23"/>
      <c r="H338" s="41"/>
      <c r="I338" s="41"/>
      <c r="J338" s="41"/>
      <c r="K338" s="41"/>
      <c r="L338" s="23"/>
      <c r="M338" s="41"/>
      <c r="N338" s="41"/>
      <c r="O338" s="42"/>
      <c r="P338" s="23"/>
      <c r="Q338" s="23"/>
      <c r="R338" s="22"/>
    </row>
    <row r="339" spans="2:18" ht="15.75" thickBot="1" x14ac:dyDescent="0.3">
      <c r="B339" s="2" t="s">
        <v>31</v>
      </c>
      <c r="C339" s="21">
        <v>43500</v>
      </c>
      <c r="D339" s="16" t="s">
        <v>36</v>
      </c>
      <c r="E339" s="50">
        <f>+SUM(J332:J337)</f>
        <v>81.5</v>
      </c>
      <c r="G339" s="23"/>
      <c r="H339" s="41"/>
      <c r="I339" s="41"/>
      <c r="J339" s="41"/>
      <c r="K339" s="41"/>
      <c r="L339" s="23"/>
      <c r="M339" s="41"/>
      <c r="N339" s="41"/>
      <c r="O339" s="42"/>
      <c r="P339" s="23"/>
      <c r="Q339" s="23"/>
      <c r="R339" s="22"/>
    </row>
    <row r="340" spans="2:18" ht="15.75" thickBot="1" x14ac:dyDescent="0.3">
      <c r="B340" s="2" t="s">
        <v>32</v>
      </c>
      <c r="C340" s="15" t="s">
        <v>33</v>
      </c>
      <c r="D340" s="16" t="s">
        <v>39</v>
      </c>
      <c r="E340" s="50">
        <f>SUM(M332:M337)</f>
        <v>0</v>
      </c>
    </row>
    <row r="341" spans="2:18" ht="15.75" thickBot="1" x14ac:dyDescent="0.3">
      <c r="B341" s="2" t="s">
        <v>35</v>
      </c>
      <c r="C341" s="15" t="s">
        <v>33</v>
      </c>
      <c r="D341" s="16" t="s">
        <v>14</v>
      </c>
      <c r="E341" s="50">
        <f>SUM(N332:N337)</f>
        <v>9.7799999999999994</v>
      </c>
    </row>
    <row r="342" spans="2:18" ht="15.75" thickBot="1" x14ac:dyDescent="0.3">
      <c r="B342" s="2" t="s">
        <v>37</v>
      </c>
      <c r="C342" s="15" t="s">
        <v>251</v>
      </c>
      <c r="D342" s="16" t="s">
        <v>15</v>
      </c>
      <c r="E342" s="50">
        <f>SUM(O332:O337)</f>
        <v>91.28</v>
      </c>
    </row>
    <row r="343" spans="2:18" x14ac:dyDescent="0.25">
      <c r="B343" s="18"/>
      <c r="C343" s="18"/>
    </row>
    <row r="344" spans="2:18" x14ac:dyDescent="0.25">
      <c r="B344" s="18"/>
      <c r="C344" s="18"/>
    </row>
    <row r="345" spans="2:18" x14ac:dyDescent="0.25">
      <c r="B345" s="114" t="s">
        <v>47</v>
      </c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</row>
    <row r="346" spans="2:18" x14ac:dyDescent="0.25">
      <c r="B346" s="2" t="s">
        <v>48</v>
      </c>
      <c r="C346" s="15" t="s">
        <v>33</v>
      </c>
      <c r="D346" s="19" t="s">
        <v>16</v>
      </c>
      <c r="E346" s="115" t="s">
        <v>152</v>
      </c>
      <c r="F346" s="116"/>
      <c r="G346" s="47" t="s">
        <v>150</v>
      </c>
      <c r="H346" s="117" t="s">
        <v>49</v>
      </c>
      <c r="I346" s="118"/>
      <c r="J346" s="117" t="s">
        <v>151</v>
      </c>
      <c r="K346" s="118"/>
      <c r="L346" s="5" t="s">
        <v>50</v>
      </c>
      <c r="M346" s="5" t="s">
        <v>51</v>
      </c>
      <c r="N346" s="117" t="s">
        <v>155</v>
      </c>
      <c r="O346" s="118"/>
    </row>
    <row r="347" spans="2:18" x14ac:dyDescent="0.25">
      <c r="B347" s="2" t="s">
        <v>52</v>
      </c>
      <c r="C347" s="15" t="s">
        <v>33</v>
      </c>
      <c r="D347" s="9" t="s">
        <v>166</v>
      </c>
      <c r="E347" s="119" t="s">
        <v>167</v>
      </c>
      <c r="F347" s="119"/>
      <c r="G347" s="48">
        <v>731</v>
      </c>
      <c r="H347" s="120" t="s">
        <v>14</v>
      </c>
      <c r="I347" s="121"/>
      <c r="J347" s="122">
        <v>1</v>
      </c>
      <c r="K347" s="123"/>
      <c r="L347" s="54">
        <f>+E341*J347</f>
        <v>9.7799999999999994</v>
      </c>
      <c r="M347" s="131">
        <f>+L347+L348</f>
        <v>10.594999999999999</v>
      </c>
      <c r="N347" s="133">
        <f>+E342-M347</f>
        <v>80.685000000000002</v>
      </c>
      <c r="O347" s="134"/>
    </row>
    <row r="348" spans="2:18" x14ac:dyDescent="0.25">
      <c r="B348" s="2" t="s">
        <v>53</v>
      </c>
      <c r="C348" s="15" t="s">
        <v>162</v>
      </c>
      <c r="D348" s="9" t="s">
        <v>165</v>
      </c>
      <c r="E348" s="119" t="s">
        <v>168</v>
      </c>
      <c r="F348" s="119"/>
      <c r="G348" s="48">
        <v>309</v>
      </c>
      <c r="H348" s="120" t="s">
        <v>153</v>
      </c>
      <c r="I348" s="121"/>
      <c r="J348" s="122">
        <v>0.01</v>
      </c>
      <c r="K348" s="123"/>
      <c r="L348" s="54">
        <f>(E339+E338-E340)*J348</f>
        <v>0.81500000000000006</v>
      </c>
      <c r="M348" s="132"/>
      <c r="N348" s="135"/>
      <c r="O348" s="136"/>
    </row>
    <row r="349" spans="2:18" x14ac:dyDescent="0.25">
      <c r="B349" s="2" t="s">
        <v>55</v>
      </c>
      <c r="C349" s="3" t="str">
        <f>+CONCATENATE(C339,"-",C340,"-",C341)</f>
        <v>43500-001-001</v>
      </c>
    </row>
    <row r="350" spans="2:18" x14ac:dyDescent="0.25">
      <c r="B350" s="2" t="s">
        <v>57</v>
      </c>
      <c r="C350" s="21">
        <f>+C339</f>
        <v>43500</v>
      </c>
    </row>
    <row r="351" spans="2:18" x14ac:dyDescent="0.25">
      <c r="B351" s="2" t="s">
        <v>86</v>
      </c>
      <c r="C351" s="21" t="s">
        <v>87</v>
      </c>
      <c r="D351" s="22"/>
      <c r="E351" s="28" t="s">
        <v>279</v>
      </c>
      <c r="F351" s="23"/>
      <c r="H351" s="23"/>
      <c r="I351" s="23"/>
      <c r="J351" s="24"/>
      <c r="K351" s="24"/>
      <c r="L351" s="25"/>
      <c r="M351" s="26"/>
      <c r="N351" s="22"/>
      <c r="O351" s="22"/>
    </row>
    <row r="352" spans="2:18" x14ac:dyDescent="0.25">
      <c r="B352" s="2" t="s">
        <v>59</v>
      </c>
      <c r="C352" s="21" t="s">
        <v>84</v>
      </c>
      <c r="D352" s="22"/>
      <c r="F352" s="23"/>
      <c r="H352" s="23"/>
      <c r="I352" s="23"/>
      <c r="J352" s="24"/>
      <c r="K352" s="24"/>
      <c r="L352" s="25"/>
      <c r="M352" s="26"/>
      <c r="N352" s="22"/>
      <c r="O352" s="22"/>
    </row>
    <row r="353" spans="1:18" x14ac:dyDescent="0.25">
      <c r="B353" s="2" t="s">
        <v>60</v>
      </c>
      <c r="C353" s="21" t="s">
        <v>85</v>
      </c>
      <c r="D353" s="22"/>
      <c r="E353" s="23"/>
      <c r="F353" s="23"/>
      <c r="H353" s="23"/>
      <c r="I353" s="23"/>
      <c r="J353" s="24"/>
      <c r="K353" s="24"/>
      <c r="L353" s="25"/>
      <c r="M353" s="26"/>
      <c r="N353" s="22"/>
      <c r="O353" s="22"/>
    </row>
    <row r="354" spans="1:18" x14ac:dyDescent="0.25">
      <c r="B354" s="2" t="s">
        <v>61</v>
      </c>
      <c r="C354" s="27">
        <f>+E342-M347</f>
        <v>80.685000000000002</v>
      </c>
      <c r="D354" s="22"/>
      <c r="E354" s="28"/>
      <c r="G354" s="23"/>
      <c r="H354" s="24"/>
      <c r="I354" s="24"/>
      <c r="J354" s="24"/>
      <c r="K354" s="25"/>
      <c r="L354" s="26"/>
      <c r="M354" s="22"/>
      <c r="N354" s="22"/>
    </row>
    <row r="357" spans="1:18" ht="26.25" x14ac:dyDescent="0.4">
      <c r="A357" s="34" t="s">
        <v>212</v>
      </c>
      <c r="B357" s="34" t="s">
        <v>93</v>
      </c>
      <c r="C357" s="1" t="s">
        <v>224</v>
      </c>
    </row>
    <row r="358" spans="1:18" x14ac:dyDescent="0.25">
      <c r="B358" s="112" t="s">
        <v>5</v>
      </c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</row>
    <row r="359" spans="1:18" x14ac:dyDescent="0.25">
      <c r="B359" s="2" t="s">
        <v>6</v>
      </c>
      <c r="C359" s="3" t="s">
        <v>77</v>
      </c>
      <c r="D359" s="4" t="s">
        <v>8</v>
      </c>
      <c r="E359" s="5" t="s">
        <v>9</v>
      </c>
      <c r="F359" s="5" t="s">
        <v>14</v>
      </c>
      <c r="G359" s="5" t="s">
        <v>10</v>
      </c>
      <c r="H359" s="5" t="s">
        <v>11</v>
      </c>
      <c r="I359" s="5" t="s">
        <v>148</v>
      </c>
      <c r="J359" s="5" t="s">
        <v>149</v>
      </c>
      <c r="K359" s="5" t="s">
        <v>12</v>
      </c>
      <c r="L359" s="5" t="s">
        <v>13</v>
      </c>
      <c r="M359" s="5" t="s">
        <v>40</v>
      </c>
      <c r="N359" s="5" t="s">
        <v>14</v>
      </c>
      <c r="O359" s="5" t="s">
        <v>15</v>
      </c>
      <c r="P359" s="5" t="s">
        <v>16</v>
      </c>
      <c r="Q359" s="5" t="s">
        <v>17</v>
      </c>
      <c r="R359" s="5" t="s">
        <v>18</v>
      </c>
    </row>
    <row r="360" spans="1:18" x14ac:dyDescent="0.25">
      <c r="B360" s="2" t="s">
        <v>19</v>
      </c>
      <c r="C360" s="15" t="s">
        <v>78</v>
      </c>
      <c r="D360" s="32">
        <v>24</v>
      </c>
      <c r="E360" s="9" t="s">
        <v>213</v>
      </c>
      <c r="F360" s="43">
        <v>0.12</v>
      </c>
      <c r="G360" s="7" t="s">
        <v>346</v>
      </c>
      <c r="H360" s="29">
        <v>3.1</v>
      </c>
      <c r="I360" s="51">
        <f>+IF(F360=0%,D360*H360,0)</f>
        <v>0</v>
      </c>
      <c r="J360" s="51">
        <f>+IF(F360=12%,D360*H360,0)</f>
        <v>74.400000000000006</v>
      </c>
      <c r="K360" s="52">
        <v>0</v>
      </c>
      <c r="L360" s="53">
        <v>0</v>
      </c>
      <c r="M360" s="53">
        <f>+J360*K360</f>
        <v>0</v>
      </c>
      <c r="N360" s="53">
        <f>+(J360-M360)*F360</f>
        <v>8.9280000000000008</v>
      </c>
      <c r="O360" s="53">
        <f>+J360-M360+N360</f>
        <v>83.328000000000003</v>
      </c>
      <c r="P360" s="9" t="s">
        <v>80</v>
      </c>
      <c r="Q360" s="9" t="s">
        <v>81</v>
      </c>
      <c r="R360" s="7" t="s">
        <v>25</v>
      </c>
    </row>
    <row r="361" spans="1:18" x14ac:dyDescent="0.25">
      <c r="B361" s="2" t="s">
        <v>21</v>
      </c>
      <c r="C361" s="15" t="s">
        <v>22</v>
      </c>
      <c r="D361" s="32">
        <v>18</v>
      </c>
      <c r="E361" s="9" t="s">
        <v>214</v>
      </c>
      <c r="F361" s="43">
        <v>0.12</v>
      </c>
      <c r="G361" s="7" t="s">
        <v>347</v>
      </c>
      <c r="H361" s="29">
        <v>22.57</v>
      </c>
      <c r="I361" s="51">
        <f>+IF(F361=0%,D361*H361,0)</f>
        <v>0</v>
      </c>
      <c r="J361" s="51">
        <f>+IF(F361=12%,D361*H361,0)</f>
        <v>406.26</v>
      </c>
      <c r="K361" s="52">
        <v>0</v>
      </c>
      <c r="L361" s="53">
        <v>0</v>
      </c>
      <c r="M361" s="53">
        <f>+J361*K361</f>
        <v>0</v>
      </c>
      <c r="N361" s="53">
        <f>+(J361-M361)*F361</f>
        <v>48.751199999999997</v>
      </c>
      <c r="O361" s="53">
        <f>+J361-M361+N361</f>
        <v>455.01119999999997</v>
      </c>
      <c r="P361" s="9" t="s">
        <v>80</v>
      </c>
      <c r="Q361" s="9" t="s">
        <v>81</v>
      </c>
      <c r="R361" s="7" t="s">
        <v>25</v>
      </c>
    </row>
    <row r="362" spans="1:18" ht="30" x14ac:dyDescent="0.25">
      <c r="B362" s="2" t="s">
        <v>23</v>
      </c>
      <c r="C362" s="8" t="s">
        <v>24</v>
      </c>
      <c r="D362" s="32">
        <v>120</v>
      </c>
      <c r="E362" s="9" t="s">
        <v>215</v>
      </c>
      <c r="F362" s="43">
        <v>0.12</v>
      </c>
      <c r="G362" s="7" t="s">
        <v>348</v>
      </c>
      <c r="H362" s="29">
        <v>2.99</v>
      </c>
      <c r="I362" s="51">
        <f>+IF(F362=0%,D362*H362,0)</f>
        <v>0</v>
      </c>
      <c r="J362" s="51">
        <f>+IF(F362=12%,D362*H362,0)</f>
        <v>358.8</v>
      </c>
      <c r="K362" s="52">
        <v>0</v>
      </c>
      <c r="L362" s="53">
        <v>0</v>
      </c>
      <c r="M362" s="53">
        <f>+J362*K362</f>
        <v>0</v>
      </c>
      <c r="N362" s="53">
        <f>+(J362-M362)*F362</f>
        <v>43.055999999999997</v>
      </c>
      <c r="O362" s="53">
        <f>+J362-M362+N362</f>
        <v>401.85599999999999</v>
      </c>
      <c r="P362" s="9" t="s">
        <v>80</v>
      </c>
      <c r="Q362" s="9" t="s">
        <v>81</v>
      </c>
      <c r="R362" s="7" t="s">
        <v>25</v>
      </c>
    </row>
    <row r="363" spans="1:18" x14ac:dyDescent="0.25">
      <c r="B363" s="2" t="s">
        <v>26</v>
      </c>
      <c r="C363" s="12" t="s">
        <v>22</v>
      </c>
      <c r="D363" s="13"/>
      <c r="E363" s="9"/>
      <c r="F363" s="43"/>
      <c r="G363" s="7"/>
      <c r="H363" s="51"/>
      <c r="I363" s="51"/>
      <c r="J363" s="51"/>
      <c r="K363" s="52"/>
      <c r="L363" s="53"/>
      <c r="M363" s="53"/>
      <c r="N363" s="53"/>
      <c r="O363" s="53"/>
      <c r="P363" s="7"/>
      <c r="Q363" s="9"/>
      <c r="R363" s="7"/>
    </row>
    <row r="364" spans="1:18" x14ac:dyDescent="0.25">
      <c r="B364" s="2" t="s">
        <v>27</v>
      </c>
      <c r="C364" s="3" t="s">
        <v>28</v>
      </c>
      <c r="D364" s="13"/>
      <c r="E364" s="9"/>
      <c r="F364" s="9"/>
      <c r="G364" s="9"/>
      <c r="H364" s="10"/>
      <c r="I364" s="10"/>
      <c r="J364" s="10"/>
      <c r="K364" s="10"/>
      <c r="L364" s="9"/>
      <c r="M364" s="10"/>
      <c r="N364" s="10"/>
      <c r="O364" s="11"/>
      <c r="P364" s="7"/>
      <c r="Q364" s="9"/>
      <c r="R364" s="7"/>
    </row>
    <row r="365" spans="1:18" x14ac:dyDescent="0.25">
      <c r="B365" s="2" t="s">
        <v>29</v>
      </c>
      <c r="C365" s="3">
        <v>1</v>
      </c>
      <c r="D365" s="13"/>
      <c r="E365" s="9"/>
      <c r="F365" s="9"/>
      <c r="G365" s="9"/>
      <c r="H365" s="10"/>
      <c r="I365" s="10"/>
      <c r="J365" s="10"/>
      <c r="K365" s="10"/>
      <c r="L365" s="9"/>
      <c r="M365" s="10"/>
      <c r="N365" s="10"/>
      <c r="O365" s="11"/>
      <c r="P365" s="9"/>
      <c r="Q365" s="9"/>
      <c r="R365" s="7"/>
    </row>
    <row r="366" spans="1:18" ht="15.75" thickBot="1" x14ac:dyDescent="0.3">
      <c r="B366" s="2" t="s">
        <v>30</v>
      </c>
      <c r="C366" s="3">
        <v>1121355271</v>
      </c>
      <c r="D366" s="39" t="s">
        <v>34</v>
      </c>
      <c r="E366" s="40">
        <f>+SUM(I360:I363)</f>
        <v>0</v>
      </c>
      <c r="F366" s="23"/>
      <c r="G366" s="23"/>
      <c r="H366" s="41"/>
      <c r="I366" s="41"/>
      <c r="J366" s="41"/>
      <c r="K366" s="41"/>
      <c r="L366" s="23"/>
      <c r="M366" s="41"/>
      <c r="N366" s="41"/>
      <c r="O366" s="42"/>
      <c r="P366" s="23"/>
      <c r="Q366" s="23"/>
      <c r="R366" s="22"/>
    </row>
    <row r="367" spans="1:18" ht="15.75" thickBot="1" x14ac:dyDescent="0.3">
      <c r="B367" s="2" t="s">
        <v>31</v>
      </c>
      <c r="C367" s="21">
        <v>43500</v>
      </c>
      <c r="D367" s="16" t="s">
        <v>36</v>
      </c>
      <c r="E367" s="17">
        <f>+SUM(J360:J365)</f>
        <v>839.46</v>
      </c>
      <c r="F367" s="23"/>
      <c r="G367" s="23"/>
      <c r="H367" s="41"/>
      <c r="I367" s="41"/>
      <c r="J367" s="41"/>
      <c r="K367" s="41"/>
      <c r="L367" s="23"/>
      <c r="M367" s="41"/>
      <c r="N367" s="41"/>
      <c r="O367" s="42"/>
      <c r="P367" s="23"/>
      <c r="Q367" s="23"/>
      <c r="R367" s="22"/>
    </row>
    <row r="368" spans="1:18" ht="15.75" thickBot="1" x14ac:dyDescent="0.3">
      <c r="B368" s="2" t="s">
        <v>32</v>
      </c>
      <c r="C368" s="15" t="s">
        <v>33</v>
      </c>
      <c r="D368" s="16" t="s">
        <v>39</v>
      </c>
      <c r="E368" s="17">
        <f>SUM(M360:M365)</f>
        <v>0</v>
      </c>
      <c r="F368" s="23"/>
    </row>
    <row r="369" spans="2:15" ht="15.75" thickBot="1" x14ac:dyDescent="0.3">
      <c r="B369" s="2" t="s">
        <v>35</v>
      </c>
      <c r="C369" s="15" t="s">
        <v>33</v>
      </c>
      <c r="D369" s="16" t="s">
        <v>14</v>
      </c>
      <c r="E369" s="17">
        <f>SUM(N360:N365)</f>
        <v>100.73519999999999</v>
      </c>
      <c r="F369" s="23"/>
    </row>
    <row r="370" spans="2:15" ht="15.75" thickBot="1" x14ac:dyDescent="0.3">
      <c r="B370" s="2" t="s">
        <v>37</v>
      </c>
      <c r="C370" s="15" t="s">
        <v>252</v>
      </c>
      <c r="D370" s="16" t="s">
        <v>15</v>
      </c>
      <c r="E370" s="17">
        <f>SUM(O360:O365)</f>
        <v>940.1952</v>
      </c>
      <c r="F370" s="23"/>
    </row>
    <row r="371" spans="2:15" x14ac:dyDescent="0.25">
      <c r="B371" s="18"/>
      <c r="C371" s="18"/>
    </row>
    <row r="372" spans="2:15" x14ac:dyDescent="0.25">
      <c r="B372" s="18"/>
      <c r="C372" s="18"/>
    </row>
    <row r="373" spans="2:15" x14ac:dyDescent="0.25">
      <c r="B373" s="114" t="s">
        <v>47</v>
      </c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</row>
    <row r="374" spans="2:15" x14ac:dyDescent="0.25">
      <c r="B374" s="2" t="s">
        <v>48</v>
      </c>
      <c r="C374" s="15" t="s">
        <v>33</v>
      </c>
      <c r="D374" s="19" t="s">
        <v>16</v>
      </c>
      <c r="E374" s="115" t="s">
        <v>152</v>
      </c>
      <c r="F374" s="116"/>
      <c r="G374" s="47" t="s">
        <v>150</v>
      </c>
      <c r="H374" s="117" t="s">
        <v>49</v>
      </c>
      <c r="I374" s="118"/>
      <c r="J374" s="117" t="s">
        <v>151</v>
      </c>
      <c r="K374" s="118"/>
      <c r="L374" s="5" t="s">
        <v>50</v>
      </c>
      <c r="M374" s="5" t="s">
        <v>51</v>
      </c>
      <c r="N374" s="117" t="s">
        <v>155</v>
      </c>
      <c r="O374" s="118"/>
    </row>
    <row r="375" spans="2:15" x14ac:dyDescent="0.25">
      <c r="B375" s="2" t="s">
        <v>52</v>
      </c>
      <c r="C375" s="15" t="s">
        <v>33</v>
      </c>
      <c r="D375" s="9" t="s">
        <v>169</v>
      </c>
      <c r="E375" s="119" t="s">
        <v>170</v>
      </c>
      <c r="F375" s="119"/>
      <c r="G375" s="48">
        <v>725</v>
      </c>
      <c r="H375" s="120" t="s">
        <v>14</v>
      </c>
      <c r="I375" s="121"/>
      <c r="J375" s="122">
        <v>0.3</v>
      </c>
      <c r="K375" s="123"/>
      <c r="L375" s="54">
        <f>+E369*J375</f>
        <v>30.220559999999995</v>
      </c>
      <c r="M375" s="131">
        <f>+L375+L376</f>
        <v>97.377359999999996</v>
      </c>
      <c r="N375" s="133">
        <f>+E370-M375</f>
        <v>842.81784000000005</v>
      </c>
      <c r="O375" s="134"/>
    </row>
    <row r="376" spans="2:15" x14ac:dyDescent="0.25">
      <c r="B376" s="2" t="s">
        <v>53</v>
      </c>
      <c r="C376" s="15" t="s">
        <v>54</v>
      </c>
      <c r="D376" s="9" t="s">
        <v>171</v>
      </c>
      <c r="E376" s="119" t="s">
        <v>172</v>
      </c>
      <c r="F376" s="119"/>
      <c r="G376" s="48">
        <v>320</v>
      </c>
      <c r="H376" s="120" t="s">
        <v>153</v>
      </c>
      <c r="I376" s="121"/>
      <c r="J376" s="122">
        <v>0.08</v>
      </c>
      <c r="K376" s="123"/>
      <c r="L376" s="54">
        <f>(E367+E366-E368)*J376</f>
        <v>67.156800000000004</v>
      </c>
      <c r="M376" s="132"/>
      <c r="N376" s="135"/>
      <c r="O376" s="136"/>
    </row>
    <row r="377" spans="2:15" x14ac:dyDescent="0.25">
      <c r="B377" s="2" t="s">
        <v>55</v>
      </c>
      <c r="C377" s="3" t="str">
        <f>+CONCATENATE(C367,"-",C368,"-",C369)</f>
        <v>43500-001-001</v>
      </c>
    </row>
    <row r="378" spans="2:15" x14ac:dyDescent="0.25">
      <c r="B378" s="2" t="s">
        <v>57</v>
      </c>
      <c r="C378" s="21">
        <f>+C367</f>
        <v>43500</v>
      </c>
      <c r="E378" s="31" t="s">
        <v>279</v>
      </c>
    </row>
    <row r="379" spans="2:15" x14ac:dyDescent="0.25">
      <c r="B379" s="2" t="s">
        <v>86</v>
      </c>
      <c r="C379" s="21" t="s">
        <v>87</v>
      </c>
      <c r="D379" s="22"/>
      <c r="E379" s="23"/>
      <c r="F379" s="23"/>
      <c r="G379" s="23"/>
      <c r="H379" s="23"/>
      <c r="I379" s="23"/>
      <c r="J379" s="24"/>
      <c r="K379" s="24"/>
      <c r="L379" s="25"/>
      <c r="M379" s="26"/>
      <c r="N379" s="22"/>
      <c r="O379" s="22"/>
    </row>
    <row r="380" spans="2:15" x14ac:dyDescent="0.25">
      <c r="B380" s="2" t="s">
        <v>59</v>
      </c>
      <c r="C380" s="21" t="s">
        <v>88</v>
      </c>
      <c r="D380" s="22"/>
      <c r="E380" s="23"/>
      <c r="F380" s="23"/>
      <c r="G380" s="23"/>
      <c r="H380" s="23"/>
      <c r="I380" s="23"/>
      <c r="J380" s="24"/>
      <c r="K380" s="24"/>
      <c r="L380" s="25"/>
      <c r="M380" s="26"/>
      <c r="N380" s="22"/>
      <c r="O380" s="22"/>
    </row>
    <row r="381" spans="2:15" x14ac:dyDescent="0.25">
      <c r="B381" s="2" t="s">
        <v>60</v>
      </c>
      <c r="C381" s="21" t="s">
        <v>89</v>
      </c>
      <c r="D381" s="22"/>
      <c r="E381" s="23"/>
      <c r="F381" s="23"/>
      <c r="G381" s="23"/>
      <c r="H381" s="23"/>
      <c r="I381" s="23"/>
      <c r="J381" s="24"/>
      <c r="K381" s="24"/>
      <c r="L381" s="25"/>
      <c r="M381" s="26"/>
      <c r="N381" s="22"/>
      <c r="O381" s="22"/>
    </row>
    <row r="382" spans="2:15" x14ac:dyDescent="0.25">
      <c r="B382" s="2" t="s">
        <v>61</v>
      </c>
      <c r="C382" s="27">
        <f>+E370-M375</f>
        <v>842.81784000000005</v>
      </c>
      <c r="D382" s="22"/>
      <c r="E382" s="28"/>
      <c r="G382" s="23"/>
      <c r="H382" s="23"/>
      <c r="I382" s="24"/>
      <c r="J382" s="24"/>
      <c r="K382" s="25"/>
      <c r="L382" s="26"/>
      <c r="M382" s="22"/>
      <c r="N382" s="22"/>
    </row>
    <row r="385" spans="1:18" ht="26.25" x14ac:dyDescent="0.4">
      <c r="A385" s="34" t="s">
        <v>212</v>
      </c>
      <c r="B385" s="34" t="s">
        <v>94</v>
      </c>
      <c r="C385" s="1" t="s">
        <v>225</v>
      </c>
    </row>
    <row r="386" spans="1:18" x14ac:dyDescent="0.25">
      <c r="B386" s="112" t="s">
        <v>5</v>
      </c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</row>
    <row r="387" spans="1:18" x14ac:dyDescent="0.25">
      <c r="B387" s="2" t="s">
        <v>6</v>
      </c>
      <c r="C387" s="3" t="s">
        <v>77</v>
      </c>
      <c r="D387" s="4" t="s">
        <v>8</v>
      </c>
      <c r="E387" s="5" t="s">
        <v>9</v>
      </c>
      <c r="F387" s="5" t="s">
        <v>14</v>
      </c>
      <c r="G387" s="5" t="s">
        <v>10</v>
      </c>
      <c r="H387" s="5" t="s">
        <v>11</v>
      </c>
      <c r="I387" s="5" t="s">
        <v>148</v>
      </c>
      <c r="J387" s="5" t="s">
        <v>149</v>
      </c>
      <c r="K387" s="5" t="s">
        <v>12</v>
      </c>
      <c r="L387" s="5" t="s">
        <v>13</v>
      </c>
      <c r="M387" s="5" t="s">
        <v>40</v>
      </c>
      <c r="N387" s="5" t="s">
        <v>14</v>
      </c>
      <c r="O387" s="5" t="s">
        <v>15</v>
      </c>
      <c r="P387" s="5" t="s">
        <v>16</v>
      </c>
      <c r="Q387" s="5" t="s">
        <v>17</v>
      </c>
      <c r="R387" s="5" t="s">
        <v>18</v>
      </c>
    </row>
    <row r="388" spans="1:18" x14ac:dyDescent="0.25">
      <c r="B388" s="2" t="s">
        <v>19</v>
      </c>
      <c r="C388" s="15" t="s">
        <v>78</v>
      </c>
      <c r="D388" s="32">
        <v>15</v>
      </c>
      <c r="E388" s="9" t="s">
        <v>213</v>
      </c>
      <c r="F388" s="43">
        <v>0.12</v>
      </c>
      <c r="G388" s="7" t="s">
        <v>346</v>
      </c>
      <c r="H388" s="29">
        <v>2.9</v>
      </c>
      <c r="I388" s="51">
        <f>+IF(F388=0%,D388*H388,0)</f>
        <v>0</v>
      </c>
      <c r="J388" s="51">
        <f>+IF(F388=12%,D388*H388,0)</f>
        <v>43.5</v>
      </c>
      <c r="K388" s="52">
        <v>0</v>
      </c>
      <c r="L388" s="53">
        <v>0</v>
      </c>
      <c r="M388" s="53">
        <f>+J388*K388</f>
        <v>0</v>
      </c>
      <c r="N388" s="53">
        <f>+(J388-M388)*F388</f>
        <v>5.22</v>
      </c>
      <c r="O388" s="53">
        <f>+J388-M388+N388</f>
        <v>48.72</v>
      </c>
      <c r="P388" s="9" t="s">
        <v>80</v>
      </c>
      <c r="Q388" s="9" t="s">
        <v>81</v>
      </c>
      <c r="R388" s="7" t="s">
        <v>25</v>
      </c>
    </row>
    <row r="389" spans="1:18" x14ac:dyDescent="0.25">
      <c r="B389" s="2" t="s">
        <v>21</v>
      </c>
      <c r="C389" s="15" t="s">
        <v>22</v>
      </c>
      <c r="D389" s="32">
        <v>3</v>
      </c>
      <c r="E389" s="9" t="s">
        <v>214</v>
      </c>
      <c r="F389" s="43">
        <v>0.12</v>
      </c>
      <c r="G389" s="7" t="s">
        <v>347</v>
      </c>
      <c r="H389" s="29">
        <v>6</v>
      </c>
      <c r="I389" s="51">
        <f>+IF(F389=0%,D389*H389,0)</f>
        <v>0</v>
      </c>
      <c r="J389" s="51">
        <f>+IF(F389=12%,D389*H389,0)</f>
        <v>18</v>
      </c>
      <c r="K389" s="52">
        <v>0</v>
      </c>
      <c r="L389" s="53">
        <v>0</v>
      </c>
      <c r="M389" s="53">
        <f>+J389*K389</f>
        <v>0</v>
      </c>
      <c r="N389" s="53">
        <f>+(J389-M389)*F389</f>
        <v>2.16</v>
      </c>
      <c r="O389" s="53">
        <f>+J389-M389+N389</f>
        <v>20.16</v>
      </c>
      <c r="P389" s="9" t="s">
        <v>80</v>
      </c>
      <c r="Q389" s="9" t="s">
        <v>81</v>
      </c>
      <c r="R389" s="7" t="s">
        <v>25</v>
      </c>
    </row>
    <row r="390" spans="1:18" ht="30" x14ac:dyDescent="0.25">
      <c r="B390" s="2" t="s">
        <v>23</v>
      </c>
      <c r="C390" s="8" t="s">
        <v>24</v>
      </c>
      <c r="D390" s="32">
        <v>5</v>
      </c>
      <c r="E390" s="9" t="s">
        <v>215</v>
      </c>
      <c r="F390" s="43">
        <v>0.12</v>
      </c>
      <c r="G390" s="7" t="s">
        <v>348</v>
      </c>
      <c r="H390" s="29">
        <v>4</v>
      </c>
      <c r="I390" s="51">
        <f>+IF(F390=0%,D390*H390,0)</f>
        <v>0</v>
      </c>
      <c r="J390" s="51">
        <f>+IF(F390=12%,D390*H390,0)</f>
        <v>20</v>
      </c>
      <c r="K390" s="52">
        <v>0</v>
      </c>
      <c r="L390" s="53">
        <v>0</v>
      </c>
      <c r="M390" s="53">
        <f>+J390*K390</f>
        <v>0</v>
      </c>
      <c r="N390" s="53">
        <f>+(J390-M390)*F390</f>
        <v>2.4</v>
      </c>
      <c r="O390" s="53">
        <f>+J390-M390+N390</f>
        <v>22.4</v>
      </c>
      <c r="P390" s="9" t="s">
        <v>80</v>
      </c>
      <c r="Q390" s="9" t="s">
        <v>81</v>
      </c>
      <c r="R390" s="7" t="s">
        <v>25</v>
      </c>
    </row>
    <row r="391" spans="1:18" x14ac:dyDescent="0.25">
      <c r="B391" s="2" t="s">
        <v>26</v>
      </c>
      <c r="C391" s="12" t="s">
        <v>22</v>
      </c>
      <c r="D391" s="13"/>
      <c r="E391" s="9"/>
      <c r="F391" s="43"/>
      <c r="G391" s="7"/>
      <c r="H391" s="51"/>
      <c r="I391" s="51"/>
      <c r="J391" s="51"/>
      <c r="K391" s="52"/>
      <c r="L391" s="53"/>
      <c r="M391" s="53"/>
      <c r="N391" s="53"/>
      <c r="O391" s="53"/>
      <c r="P391" s="7"/>
      <c r="Q391" s="9"/>
      <c r="R391" s="7"/>
    </row>
    <row r="392" spans="1:18" x14ac:dyDescent="0.25">
      <c r="B392" s="2" t="s">
        <v>27</v>
      </c>
      <c r="C392" s="3" t="s">
        <v>28</v>
      </c>
      <c r="D392" s="13"/>
      <c r="E392" s="9"/>
      <c r="F392" s="9"/>
      <c r="G392" s="9"/>
      <c r="H392" s="10"/>
      <c r="I392" s="10"/>
      <c r="J392" s="10"/>
      <c r="K392" s="10"/>
      <c r="L392" s="9"/>
      <c r="M392" s="10"/>
      <c r="N392" s="10"/>
      <c r="O392" s="11"/>
      <c r="P392" s="7"/>
      <c r="Q392" s="9"/>
      <c r="R392" s="7"/>
    </row>
    <row r="393" spans="1:18" ht="15.75" thickBot="1" x14ac:dyDescent="0.3">
      <c r="B393" s="2" t="s">
        <v>29</v>
      </c>
      <c r="C393" s="3">
        <v>1</v>
      </c>
      <c r="D393" s="13"/>
      <c r="E393" s="9"/>
      <c r="F393" s="9"/>
      <c r="G393" s="9"/>
      <c r="H393" s="10"/>
      <c r="I393" s="10"/>
      <c r="J393" s="10"/>
      <c r="K393" s="10"/>
      <c r="L393" s="9"/>
      <c r="M393" s="10"/>
      <c r="N393" s="10"/>
      <c r="O393" s="11"/>
      <c r="P393" s="9"/>
      <c r="Q393" s="9"/>
      <c r="R393" s="7"/>
    </row>
    <row r="394" spans="1:18" ht="15.75" thickBot="1" x14ac:dyDescent="0.3">
      <c r="B394" s="2" t="s">
        <v>30</v>
      </c>
      <c r="C394" s="3">
        <v>1121355271</v>
      </c>
      <c r="D394" s="16" t="s">
        <v>34</v>
      </c>
      <c r="E394" s="40">
        <f>+SUM(I388:I391)</f>
        <v>0</v>
      </c>
    </row>
    <row r="395" spans="1:18" ht="15.75" thickBot="1" x14ac:dyDescent="0.3">
      <c r="B395" s="2" t="s">
        <v>31</v>
      </c>
      <c r="C395" s="21">
        <v>43500</v>
      </c>
      <c r="D395" s="16" t="s">
        <v>36</v>
      </c>
      <c r="E395" s="17">
        <f>+SUM(J388:J393)</f>
        <v>81.5</v>
      </c>
    </row>
    <row r="396" spans="1:18" ht="15.75" thickBot="1" x14ac:dyDescent="0.3">
      <c r="B396" s="2" t="s">
        <v>32</v>
      </c>
      <c r="C396" s="15" t="s">
        <v>33</v>
      </c>
      <c r="D396" s="16" t="s">
        <v>39</v>
      </c>
      <c r="E396" s="17">
        <f>SUM(M388:M393)</f>
        <v>0</v>
      </c>
    </row>
    <row r="397" spans="1:18" ht="15.75" thickBot="1" x14ac:dyDescent="0.3">
      <c r="B397" s="2" t="s">
        <v>35</v>
      </c>
      <c r="C397" s="15" t="s">
        <v>33</v>
      </c>
      <c r="D397" s="16" t="s">
        <v>14</v>
      </c>
      <c r="E397" s="17">
        <f>SUM(N388:N393)</f>
        <v>9.7799999999999994</v>
      </c>
    </row>
    <row r="398" spans="1:18" ht="15.75" thickBot="1" x14ac:dyDescent="0.3">
      <c r="B398" s="2" t="s">
        <v>37</v>
      </c>
      <c r="C398" s="15" t="s">
        <v>253</v>
      </c>
      <c r="D398" s="16" t="s">
        <v>15</v>
      </c>
      <c r="E398" s="17">
        <f>SUM(O388:O393)</f>
        <v>91.28</v>
      </c>
    </row>
    <row r="399" spans="1:18" x14ac:dyDescent="0.25">
      <c r="B399" s="18"/>
      <c r="C399" s="18"/>
    </row>
    <row r="401" spans="1:18" x14ac:dyDescent="0.25">
      <c r="B401" s="114" t="s">
        <v>47</v>
      </c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</row>
    <row r="402" spans="1:18" x14ac:dyDescent="0.25">
      <c r="B402" s="2" t="s">
        <v>48</v>
      </c>
      <c r="C402" s="15" t="s">
        <v>33</v>
      </c>
      <c r="D402" s="19" t="s">
        <v>16</v>
      </c>
      <c r="E402" s="115" t="s">
        <v>152</v>
      </c>
      <c r="F402" s="116"/>
      <c r="G402" s="47" t="s">
        <v>150</v>
      </c>
      <c r="H402" s="117" t="s">
        <v>49</v>
      </c>
      <c r="I402" s="118"/>
      <c r="J402" s="117" t="s">
        <v>151</v>
      </c>
      <c r="K402" s="118"/>
      <c r="L402" s="5" t="s">
        <v>50</v>
      </c>
      <c r="M402" s="5" t="s">
        <v>51</v>
      </c>
      <c r="N402" s="117" t="s">
        <v>155</v>
      </c>
      <c r="O402" s="118"/>
    </row>
    <row r="403" spans="1:18" x14ac:dyDescent="0.25">
      <c r="B403" s="2" t="s">
        <v>52</v>
      </c>
      <c r="C403" s="15" t="s">
        <v>33</v>
      </c>
      <c r="D403" s="9" t="s">
        <v>179</v>
      </c>
      <c r="E403" s="119" t="s">
        <v>180</v>
      </c>
      <c r="F403" s="119"/>
      <c r="G403" s="48">
        <v>727</v>
      </c>
      <c r="H403" s="120" t="s">
        <v>14</v>
      </c>
      <c r="I403" s="121"/>
      <c r="J403" s="122">
        <v>0.5</v>
      </c>
      <c r="K403" s="123"/>
      <c r="L403" s="20">
        <f>+E397*J403</f>
        <v>4.8899999999999997</v>
      </c>
      <c r="M403" s="124">
        <f>+L403+L404</f>
        <v>6.52</v>
      </c>
      <c r="N403" s="126">
        <f>+E398-M403</f>
        <v>84.76</v>
      </c>
      <c r="O403" s="127"/>
    </row>
    <row r="404" spans="1:18" x14ac:dyDescent="0.25">
      <c r="B404" s="2" t="s">
        <v>53</v>
      </c>
      <c r="C404" s="15" t="s">
        <v>163</v>
      </c>
      <c r="D404" s="9" t="s">
        <v>175</v>
      </c>
      <c r="E404" s="119" t="s">
        <v>176</v>
      </c>
      <c r="F404" s="119"/>
      <c r="G404" s="48">
        <v>344</v>
      </c>
      <c r="H404" s="120" t="s">
        <v>153</v>
      </c>
      <c r="I404" s="121"/>
      <c r="J404" s="122">
        <v>0.02</v>
      </c>
      <c r="K404" s="123"/>
      <c r="L404" s="20">
        <f>(E395+E394-E396)*J404</f>
        <v>1.6300000000000001</v>
      </c>
      <c r="M404" s="125"/>
      <c r="N404" s="128"/>
      <c r="O404" s="129"/>
    </row>
    <row r="405" spans="1:18" x14ac:dyDescent="0.25">
      <c r="B405" s="2" t="s">
        <v>55</v>
      </c>
      <c r="C405" s="3" t="str">
        <f>+CONCATENATE(C395,"-",C396,"-",C397)</f>
        <v>43500-001-001</v>
      </c>
    </row>
    <row r="406" spans="1:18" x14ac:dyDescent="0.25">
      <c r="B406" s="2" t="s">
        <v>57</v>
      </c>
      <c r="C406" s="21">
        <f>+C395</f>
        <v>43500</v>
      </c>
    </row>
    <row r="407" spans="1:18" x14ac:dyDescent="0.25">
      <c r="B407" s="2" t="s">
        <v>86</v>
      </c>
      <c r="C407" s="21" t="s">
        <v>87</v>
      </c>
    </row>
    <row r="408" spans="1:18" x14ac:dyDescent="0.25">
      <c r="B408" s="2" t="s">
        <v>59</v>
      </c>
      <c r="C408" s="21" t="s">
        <v>90</v>
      </c>
      <c r="E408" s="31" t="s">
        <v>279</v>
      </c>
    </row>
    <row r="409" spans="1:18" x14ac:dyDescent="0.25">
      <c r="B409" s="2" t="s">
        <v>60</v>
      </c>
      <c r="C409" s="21" t="s">
        <v>91</v>
      </c>
    </row>
    <row r="410" spans="1:18" x14ac:dyDescent="0.25">
      <c r="B410" s="2" t="s">
        <v>61</v>
      </c>
      <c r="C410" s="27">
        <f>+E398-M403</f>
        <v>84.76</v>
      </c>
    </row>
    <row r="413" spans="1:18" ht="26.25" x14ac:dyDescent="0.4">
      <c r="A413" s="34" t="s">
        <v>212</v>
      </c>
      <c r="B413" s="34" t="s">
        <v>140</v>
      </c>
      <c r="C413" s="1" t="s">
        <v>226</v>
      </c>
    </row>
    <row r="414" spans="1:18" x14ac:dyDescent="0.25">
      <c r="B414" s="112" t="s">
        <v>5</v>
      </c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</row>
    <row r="415" spans="1:18" x14ac:dyDescent="0.25">
      <c r="B415" s="2" t="s">
        <v>6</v>
      </c>
      <c r="C415" s="3" t="s">
        <v>216</v>
      </c>
      <c r="D415" s="4" t="s">
        <v>8</v>
      </c>
      <c r="E415" s="5" t="s">
        <v>9</v>
      </c>
      <c r="F415" s="5" t="s">
        <v>14</v>
      </c>
      <c r="G415" s="5" t="s">
        <v>10</v>
      </c>
      <c r="H415" s="5" t="s">
        <v>11</v>
      </c>
      <c r="I415" s="5" t="s">
        <v>148</v>
      </c>
      <c r="J415" s="5" t="s">
        <v>149</v>
      </c>
      <c r="K415" s="5" t="s">
        <v>12</v>
      </c>
      <c r="L415" s="5" t="s">
        <v>13</v>
      </c>
      <c r="M415" s="5" t="s">
        <v>40</v>
      </c>
      <c r="N415" s="5" t="s">
        <v>14</v>
      </c>
      <c r="O415" s="5" t="s">
        <v>15</v>
      </c>
      <c r="P415" s="5" t="s">
        <v>16</v>
      </c>
      <c r="Q415" s="5" t="s">
        <v>17</v>
      </c>
      <c r="R415" s="5" t="s">
        <v>18</v>
      </c>
    </row>
    <row r="416" spans="1:18" x14ac:dyDescent="0.25">
      <c r="B416" s="2" t="s">
        <v>19</v>
      </c>
      <c r="C416" s="33" t="s">
        <v>217</v>
      </c>
      <c r="D416" s="7">
        <v>2</v>
      </c>
      <c r="E416" s="9" t="s">
        <v>95</v>
      </c>
      <c r="F416" s="43">
        <v>0.12</v>
      </c>
      <c r="G416" s="7" t="s">
        <v>349</v>
      </c>
      <c r="H416" s="51">
        <v>420</v>
      </c>
      <c r="I416" s="51">
        <f>+IF(F416=0%,D416*H416,0)</f>
        <v>0</v>
      </c>
      <c r="J416" s="51">
        <f>+IF(F416=12%,D416*H416,0)</f>
        <v>840</v>
      </c>
      <c r="K416" s="52">
        <v>0</v>
      </c>
      <c r="L416" s="53">
        <v>0</v>
      </c>
      <c r="M416" s="53">
        <f>+J416*K416</f>
        <v>0</v>
      </c>
      <c r="N416" s="53">
        <f>+(J416-M416)*F416</f>
        <v>100.8</v>
      </c>
      <c r="O416" s="53">
        <f>+J416-M416+N416</f>
        <v>940.8</v>
      </c>
      <c r="P416" s="9" t="s">
        <v>221</v>
      </c>
      <c r="Q416" s="9" t="s">
        <v>222</v>
      </c>
      <c r="R416" s="7" t="s">
        <v>25</v>
      </c>
    </row>
    <row r="417" spans="2:18" x14ac:dyDescent="0.25">
      <c r="B417" s="2" t="s">
        <v>21</v>
      </c>
      <c r="C417" s="15" t="s">
        <v>22</v>
      </c>
      <c r="D417" s="7"/>
      <c r="E417" s="9"/>
      <c r="F417" s="43"/>
      <c r="G417" s="35"/>
      <c r="H417" s="51"/>
      <c r="I417" s="51"/>
      <c r="J417" s="51"/>
      <c r="K417" s="52"/>
      <c r="L417" s="53"/>
      <c r="M417" s="53"/>
      <c r="N417" s="53"/>
      <c r="O417" s="53"/>
      <c r="P417" s="7"/>
      <c r="Q417" s="9"/>
      <c r="R417" s="7"/>
    </row>
    <row r="418" spans="2:18" ht="30" x14ac:dyDescent="0.25">
      <c r="B418" s="2" t="s">
        <v>23</v>
      </c>
      <c r="C418" s="30" t="s">
        <v>218</v>
      </c>
      <c r="D418" s="7"/>
      <c r="E418" s="9"/>
      <c r="F418" s="43"/>
      <c r="G418" s="35"/>
      <c r="H418" s="51"/>
      <c r="I418" s="51"/>
      <c r="J418" s="51"/>
      <c r="K418" s="52"/>
      <c r="L418" s="53"/>
      <c r="M418" s="53"/>
      <c r="N418" s="53"/>
      <c r="O418" s="53"/>
      <c r="P418" s="7"/>
      <c r="Q418" s="9"/>
      <c r="R418" s="7"/>
    </row>
    <row r="419" spans="2:18" x14ac:dyDescent="0.25">
      <c r="B419" s="2" t="s">
        <v>26</v>
      </c>
      <c r="C419" s="12" t="s">
        <v>219</v>
      </c>
      <c r="D419" s="7"/>
      <c r="E419" s="9"/>
      <c r="F419" s="43"/>
      <c r="G419" s="35"/>
      <c r="H419" s="51"/>
      <c r="I419" s="51"/>
      <c r="J419" s="51"/>
      <c r="K419" s="52"/>
      <c r="L419" s="53"/>
      <c r="M419" s="53"/>
      <c r="N419" s="53"/>
      <c r="O419" s="53"/>
      <c r="P419" s="7"/>
      <c r="Q419" s="9"/>
      <c r="R419" s="7"/>
    </row>
    <row r="420" spans="2:18" x14ac:dyDescent="0.25">
      <c r="B420" s="2" t="s">
        <v>27</v>
      </c>
      <c r="C420" s="3" t="s">
        <v>28</v>
      </c>
      <c r="D420" s="13"/>
      <c r="E420" s="9"/>
      <c r="F420" s="9"/>
      <c r="G420" s="9"/>
      <c r="H420" s="10"/>
      <c r="I420" s="10"/>
      <c r="J420" s="10"/>
      <c r="K420" s="10"/>
      <c r="L420" s="9"/>
      <c r="M420" s="10"/>
      <c r="N420" s="10"/>
      <c r="O420" s="11"/>
      <c r="P420" s="7"/>
      <c r="Q420" s="9"/>
      <c r="R420" s="7"/>
    </row>
    <row r="421" spans="2:18" ht="15.75" thickBot="1" x14ac:dyDescent="0.3">
      <c r="B421" s="2" t="s">
        <v>29</v>
      </c>
      <c r="C421" s="3">
        <v>1</v>
      </c>
      <c r="D421" s="13"/>
      <c r="E421" s="9"/>
      <c r="F421" s="9"/>
      <c r="G421" s="9"/>
      <c r="H421" s="10"/>
      <c r="I421" s="10"/>
      <c r="J421" s="10"/>
      <c r="K421" s="10"/>
      <c r="L421" s="9"/>
      <c r="M421" s="10"/>
      <c r="N421" s="10"/>
      <c r="O421" s="11"/>
      <c r="P421" s="9"/>
      <c r="Q421" s="9"/>
      <c r="R421" s="7"/>
    </row>
    <row r="422" spans="2:18" ht="15.75" thickBot="1" x14ac:dyDescent="0.3">
      <c r="B422" s="2" t="s">
        <v>30</v>
      </c>
      <c r="C422" s="7">
        <v>1122598232</v>
      </c>
      <c r="D422" s="16" t="s">
        <v>34</v>
      </c>
      <c r="E422" s="40">
        <f>+SUM(I416:I419)</f>
        <v>0</v>
      </c>
    </row>
    <row r="423" spans="2:18" ht="15.75" thickBot="1" x14ac:dyDescent="0.3">
      <c r="B423" s="2" t="s">
        <v>31</v>
      </c>
      <c r="C423" s="14">
        <v>43501</v>
      </c>
      <c r="D423" s="16" t="s">
        <v>36</v>
      </c>
      <c r="E423" s="17">
        <f>+SUM(J416:J421)</f>
        <v>840</v>
      </c>
    </row>
    <row r="424" spans="2:18" ht="15.75" thickBot="1" x14ac:dyDescent="0.3">
      <c r="B424" s="2" t="s">
        <v>32</v>
      </c>
      <c r="C424" s="15" t="s">
        <v>33</v>
      </c>
      <c r="D424" s="16" t="s">
        <v>39</v>
      </c>
      <c r="E424" s="17">
        <f>SUM(M416:M421)</f>
        <v>0</v>
      </c>
    </row>
    <row r="425" spans="2:18" ht="15.75" thickBot="1" x14ac:dyDescent="0.3">
      <c r="B425" s="2" t="s">
        <v>35</v>
      </c>
      <c r="C425" s="15" t="s">
        <v>33</v>
      </c>
      <c r="D425" s="16" t="s">
        <v>14</v>
      </c>
      <c r="E425" s="17">
        <f>SUM(N416:N421)</f>
        <v>100.8</v>
      </c>
    </row>
    <row r="426" spans="2:18" ht="15.75" thickBot="1" x14ac:dyDescent="0.3">
      <c r="B426" s="2" t="s">
        <v>37</v>
      </c>
      <c r="C426" s="15" t="s">
        <v>220</v>
      </c>
      <c r="D426" s="16" t="s">
        <v>15</v>
      </c>
      <c r="E426" s="17">
        <f>SUM(O416:O421)</f>
        <v>940.8</v>
      </c>
    </row>
    <row r="427" spans="2:18" x14ac:dyDescent="0.25">
      <c r="B427" s="18"/>
      <c r="C427" s="18"/>
    </row>
    <row r="428" spans="2:18" x14ac:dyDescent="0.25">
      <c r="B428" s="18"/>
      <c r="C428" s="18"/>
    </row>
    <row r="429" spans="2:18" x14ac:dyDescent="0.25">
      <c r="B429" s="114" t="s">
        <v>47</v>
      </c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</row>
    <row r="430" spans="2:18" x14ac:dyDescent="0.25">
      <c r="B430" s="2" t="s">
        <v>48</v>
      </c>
      <c r="C430" s="33" t="s">
        <v>33</v>
      </c>
      <c r="D430" s="19" t="s">
        <v>16</v>
      </c>
      <c r="E430" s="115" t="s">
        <v>152</v>
      </c>
      <c r="F430" s="116"/>
      <c r="G430" s="47" t="s">
        <v>150</v>
      </c>
      <c r="H430" s="117" t="s">
        <v>49</v>
      </c>
      <c r="I430" s="118"/>
      <c r="J430" s="117" t="s">
        <v>151</v>
      </c>
      <c r="K430" s="118"/>
      <c r="L430" s="5" t="s">
        <v>50</v>
      </c>
      <c r="M430" s="5" t="s">
        <v>51</v>
      </c>
      <c r="N430" s="117" t="s">
        <v>155</v>
      </c>
      <c r="O430" s="118"/>
    </row>
    <row r="431" spans="2:18" x14ac:dyDescent="0.25">
      <c r="B431" s="2" t="s">
        <v>52</v>
      </c>
      <c r="C431" s="15" t="s">
        <v>33</v>
      </c>
      <c r="D431" s="9" t="s">
        <v>173</v>
      </c>
      <c r="E431" s="119" t="s">
        <v>174</v>
      </c>
      <c r="F431" s="119"/>
      <c r="G431" s="48">
        <v>729</v>
      </c>
      <c r="H431" s="120" t="s">
        <v>14</v>
      </c>
      <c r="I431" s="121"/>
      <c r="J431" s="122">
        <v>0.7</v>
      </c>
      <c r="K431" s="123"/>
      <c r="L431" s="20">
        <f>+E425*J431</f>
        <v>70.559999999999988</v>
      </c>
      <c r="M431" s="124">
        <f>+L431+L432</f>
        <v>78.959999999999994</v>
      </c>
      <c r="N431" s="126">
        <f>+E426-M431</f>
        <v>861.83999999999992</v>
      </c>
      <c r="O431" s="127"/>
    </row>
    <row r="432" spans="2:18" x14ac:dyDescent="0.25">
      <c r="B432" s="2" t="s">
        <v>53</v>
      </c>
      <c r="C432" s="7">
        <v>504</v>
      </c>
      <c r="D432" s="9" t="s">
        <v>165</v>
      </c>
      <c r="E432" s="119" t="s">
        <v>168</v>
      </c>
      <c r="F432" s="119"/>
      <c r="G432" s="48">
        <v>312</v>
      </c>
      <c r="H432" s="120" t="s">
        <v>153</v>
      </c>
      <c r="I432" s="121"/>
      <c r="J432" s="122">
        <v>0.01</v>
      </c>
      <c r="K432" s="123"/>
      <c r="L432" s="20">
        <f>(E423+E422-E424)*J432</f>
        <v>8.4</v>
      </c>
      <c r="M432" s="125"/>
      <c r="N432" s="128"/>
      <c r="O432" s="129"/>
    </row>
    <row r="433" spans="1:18" x14ac:dyDescent="0.25">
      <c r="B433" s="2" t="s">
        <v>55</v>
      </c>
      <c r="C433" s="3" t="str">
        <f>+CONCATENATE(C424,"-",C425,"-",C426)</f>
        <v>001-001-456</v>
      </c>
    </row>
    <row r="434" spans="1:18" x14ac:dyDescent="0.25">
      <c r="B434" s="2" t="s">
        <v>57</v>
      </c>
      <c r="C434" s="21" t="str">
        <f>+C425</f>
        <v>001</v>
      </c>
    </row>
    <row r="435" spans="1:18" x14ac:dyDescent="0.25">
      <c r="B435" s="2" t="s">
        <v>86</v>
      </c>
      <c r="C435" s="21" t="s">
        <v>143</v>
      </c>
    </row>
    <row r="436" spans="1:18" x14ac:dyDescent="0.25">
      <c r="B436" s="2" t="s">
        <v>58</v>
      </c>
      <c r="C436" s="21" t="s">
        <v>144</v>
      </c>
      <c r="E436" s="31" t="s">
        <v>279</v>
      </c>
    </row>
    <row r="437" spans="1:18" x14ac:dyDescent="0.25">
      <c r="B437" s="2" t="s">
        <v>60</v>
      </c>
      <c r="C437" s="21" t="s">
        <v>74</v>
      </c>
    </row>
    <row r="438" spans="1:18" x14ac:dyDescent="0.25">
      <c r="B438" s="2" t="s">
        <v>61</v>
      </c>
      <c r="C438" s="27">
        <f>+E426-M431</f>
        <v>861.83999999999992</v>
      </c>
    </row>
    <row r="441" spans="1:18" ht="26.25" x14ac:dyDescent="0.4">
      <c r="A441" s="34" t="s">
        <v>212</v>
      </c>
      <c r="B441" s="34" t="s">
        <v>142</v>
      </c>
      <c r="C441" s="1" t="s">
        <v>227</v>
      </c>
    </row>
    <row r="442" spans="1:18" x14ac:dyDescent="0.25">
      <c r="B442" s="112" t="s">
        <v>5</v>
      </c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</row>
    <row r="443" spans="1:18" x14ac:dyDescent="0.25">
      <c r="B443" s="2" t="s">
        <v>6</v>
      </c>
      <c r="C443" s="3" t="s">
        <v>216</v>
      </c>
      <c r="D443" s="4" t="s">
        <v>8</v>
      </c>
      <c r="E443" s="5" t="s">
        <v>9</v>
      </c>
      <c r="F443" s="5" t="s">
        <v>14</v>
      </c>
      <c r="G443" s="5" t="s">
        <v>10</v>
      </c>
      <c r="H443" s="5" t="s">
        <v>11</v>
      </c>
      <c r="I443" s="5" t="s">
        <v>148</v>
      </c>
      <c r="J443" s="5" t="s">
        <v>149</v>
      </c>
      <c r="K443" s="5" t="s">
        <v>12</v>
      </c>
      <c r="L443" s="5" t="s">
        <v>13</v>
      </c>
      <c r="M443" s="5" t="s">
        <v>40</v>
      </c>
      <c r="N443" s="5" t="s">
        <v>14</v>
      </c>
      <c r="O443" s="5" t="s">
        <v>15</v>
      </c>
      <c r="P443" s="5" t="s">
        <v>16</v>
      </c>
      <c r="Q443" s="5" t="s">
        <v>17</v>
      </c>
      <c r="R443" s="5" t="s">
        <v>18</v>
      </c>
    </row>
    <row r="444" spans="1:18" x14ac:dyDescent="0.25">
      <c r="B444" s="2" t="s">
        <v>19</v>
      </c>
      <c r="C444" s="33" t="s">
        <v>217</v>
      </c>
      <c r="D444" s="7">
        <v>2</v>
      </c>
      <c r="E444" s="9" t="s">
        <v>95</v>
      </c>
      <c r="F444" s="43">
        <v>0.12</v>
      </c>
      <c r="G444" s="7" t="s">
        <v>350</v>
      </c>
      <c r="H444" s="51">
        <v>420</v>
      </c>
      <c r="I444" s="51">
        <f>+IF(F444=0%,D444*H444,0)</f>
        <v>0</v>
      </c>
      <c r="J444" s="51">
        <f>+IF(F444=12%,D444*H444,0)</f>
        <v>840</v>
      </c>
      <c r="K444" s="52">
        <v>0</v>
      </c>
      <c r="L444" s="53">
        <v>0</v>
      </c>
      <c r="M444" s="53">
        <f>+J444*K444</f>
        <v>0</v>
      </c>
      <c r="N444" s="53">
        <f>+(J444-M444)*F444</f>
        <v>100.8</v>
      </c>
      <c r="O444" s="53">
        <f>+J444-M444+N444</f>
        <v>940.8</v>
      </c>
      <c r="P444" s="9" t="s">
        <v>221</v>
      </c>
      <c r="Q444" s="9" t="s">
        <v>222</v>
      </c>
      <c r="R444" s="7" t="s">
        <v>25</v>
      </c>
    </row>
    <row r="445" spans="1:18" x14ac:dyDescent="0.25">
      <c r="B445" s="2" t="s">
        <v>21</v>
      </c>
      <c r="C445" s="15" t="s">
        <v>22</v>
      </c>
      <c r="D445" s="7"/>
      <c r="E445" s="9"/>
      <c r="F445" s="43"/>
      <c r="G445" s="35"/>
      <c r="H445" s="51"/>
      <c r="I445" s="51"/>
      <c r="J445" s="51"/>
      <c r="K445" s="52"/>
      <c r="L445" s="53"/>
      <c r="M445" s="53"/>
      <c r="N445" s="53"/>
      <c r="O445" s="53"/>
      <c r="P445" s="7"/>
      <c r="Q445" s="9"/>
      <c r="R445" s="7"/>
    </row>
    <row r="446" spans="1:18" ht="30" x14ac:dyDescent="0.25">
      <c r="B446" s="2" t="s">
        <v>23</v>
      </c>
      <c r="C446" s="30" t="s">
        <v>218</v>
      </c>
      <c r="D446" s="7"/>
      <c r="E446" s="9"/>
      <c r="F446" s="43"/>
      <c r="G446" s="35"/>
      <c r="H446" s="51"/>
      <c r="I446" s="51"/>
      <c r="J446" s="51"/>
      <c r="K446" s="52"/>
      <c r="L446" s="53"/>
      <c r="M446" s="53"/>
      <c r="N446" s="53"/>
      <c r="O446" s="53"/>
      <c r="P446" s="7"/>
      <c r="Q446" s="9"/>
      <c r="R446" s="7"/>
    </row>
    <row r="447" spans="1:18" x14ac:dyDescent="0.25">
      <c r="B447" s="2" t="s">
        <v>26</v>
      </c>
      <c r="C447" s="12" t="s">
        <v>219</v>
      </c>
      <c r="D447" s="7"/>
      <c r="E447" s="9"/>
      <c r="F447" s="43"/>
      <c r="G447" s="35"/>
      <c r="H447" s="51"/>
      <c r="I447" s="51"/>
      <c r="J447" s="51"/>
      <c r="K447" s="52"/>
      <c r="L447" s="53"/>
      <c r="M447" s="53"/>
      <c r="N447" s="53"/>
      <c r="O447" s="53"/>
      <c r="P447" s="7"/>
      <c r="Q447" s="9"/>
      <c r="R447" s="7"/>
    </row>
    <row r="448" spans="1:18" x14ac:dyDescent="0.25">
      <c r="B448" s="2" t="s">
        <v>27</v>
      </c>
      <c r="C448" s="3" t="s">
        <v>28</v>
      </c>
      <c r="D448" s="13"/>
      <c r="E448" s="9"/>
      <c r="F448" s="9"/>
      <c r="G448" s="9"/>
      <c r="H448" s="10"/>
      <c r="I448" s="10"/>
      <c r="J448" s="10"/>
      <c r="K448" s="10"/>
      <c r="L448" s="9"/>
      <c r="M448" s="10"/>
      <c r="N448" s="10"/>
      <c r="O448" s="11"/>
      <c r="P448" s="7"/>
      <c r="Q448" s="9"/>
      <c r="R448" s="7"/>
    </row>
    <row r="449" spans="2:18" ht="15.75" thickBot="1" x14ac:dyDescent="0.3">
      <c r="B449" s="2" t="s">
        <v>29</v>
      </c>
      <c r="C449" s="3">
        <v>1</v>
      </c>
      <c r="D449" s="13"/>
      <c r="E449" s="9"/>
      <c r="F449" s="9"/>
      <c r="G449" s="9"/>
      <c r="H449" s="10"/>
      <c r="I449" s="10"/>
      <c r="J449" s="10"/>
      <c r="K449" s="10"/>
      <c r="L449" s="9"/>
      <c r="M449" s="10"/>
      <c r="N449" s="10"/>
      <c r="O449" s="11"/>
      <c r="P449" s="9"/>
      <c r="Q449" s="9"/>
      <c r="R449" s="7"/>
    </row>
    <row r="450" spans="2:18" ht="15.75" thickBot="1" x14ac:dyDescent="0.3">
      <c r="B450" s="2" t="s">
        <v>30</v>
      </c>
      <c r="C450" s="7">
        <v>1122728319</v>
      </c>
      <c r="D450" s="16" t="s">
        <v>34</v>
      </c>
      <c r="E450" s="40">
        <f>+SUM(I444:I447)</f>
        <v>0</v>
      </c>
    </row>
    <row r="451" spans="2:18" ht="15.75" thickBot="1" x14ac:dyDescent="0.3">
      <c r="B451" s="2" t="s">
        <v>31</v>
      </c>
      <c r="C451" s="14">
        <v>43501</v>
      </c>
      <c r="D451" s="16" t="s">
        <v>36</v>
      </c>
      <c r="E451" s="17">
        <f>+SUM(J444:J449)</f>
        <v>840</v>
      </c>
    </row>
    <row r="452" spans="2:18" ht="15.75" thickBot="1" x14ac:dyDescent="0.3">
      <c r="B452" s="2" t="s">
        <v>32</v>
      </c>
      <c r="C452" s="15" t="s">
        <v>33</v>
      </c>
      <c r="D452" s="16" t="s">
        <v>39</v>
      </c>
      <c r="E452" s="17">
        <f>SUM(M444:M449)</f>
        <v>0</v>
      </c>
    </row>
    <row r="453" spans="2:18" ht="15.75" thickBot="1" x14ac:dyDescent="0.3">
      <c r="B453" s="2" t="s">
        <v>35</v>
      </c>
      <c r="C453" s="15" t="s">
        <v>33</v>
      </c>
      <c r="D453" s="16" t="s">
        <v>14</v>
      </c>
      <c r="E453" s="17">
        <f>SUM(N444:N449)</f>
        <v>100.8</v>
      </c>
    </row>
    <row r="454" spans="2:18" ht="15.75" thickBot="1" x14ac:dyDescent="0.3">
      <c r="B454" s="2" t="s">
        <v>37</v>
      </c>
      <c r="C454" s="15" t="s">
        <v>254</v>
      </c>
      <c r="D454" s="16" t="s">
        <v>15</v>
      </c>
      <c r="E454" s="17">
        <f>SUM(O444:O449)</f>
        <v>940.8</v>
      </c>
    </row>
    <row r="455" spans="2:18" x14ac:dyDescent="0.25">
      <c r="B455" s="18"/>
      <c r="C455" s="18"/>
    </row>
    <row r="457" spans="2:18" x14ac:dyDescent="0.25">
      <c r="B457" s="114" t="s">
        <v>47</v>
      </c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</row>
    <row r="458" spans="2:18" x14ac:dyDescent="0.25">
      <c r="B458" s="2" t="s">
        <v>48</v>
      </c>
      <c r="C458" s="33" t="s">
        <v>33</v>
      </c>
      <c r="D458" s="19" t="s">
        <v>16</v>
      </c>
      <c r="E458" s="115" t="s">
        <v>152</v>
      </c>
      <c r="F458" s="116"/>
      <c r="G458" s="47" t="s">
        <v>150</v>
      </c>
      <c r="H458" s="117" t="s">
        <v>49</v>
      </c>
      <c r="I458" s="118"/>
      <c r="J458" s="117" t="s">
        <v>151</v>
      </c>
      <c r="K458" s="118"/>
      <c r="L458" s="5" t="s">
        <v>50</v>
      </c>
      <c r="M458" s="5" t="s">
        <v>51</v>
      </c>
      <c r="N458" s="117" t="s">
        <v>155</v>
      </c>
      <c r="O458" s="118"/>
    </row>
    <row r="459" spans="2:18" x14ac:dyDescent="0.25">
      <c r="B459" s="2" t="s">
        <v>52</v>
      </c>
      <c r="C459" s="15" t="s">
        <v>33</v>
      </c>
      <c r="D459" s="9" t="s">
        <v>177</v>
      </c>
      <c r="E459" s="119" t="s">
        <v>178</v>
      </c>
      <c r="F459" s="119"/>
      <c r="G459" s="48">
        <v>712</v>
      </c>
      <c r="H459" s="120" t="s">
        <v>14</v>
      </c>
      <c r="I459" s="121"/>
      <c r="J459" s="122">
        <v>0.1</v>
      </c>
      <c r="K459" s="123"/>
      <c r="L459" s="20">
        <f>+E453*J459</f>
        <v>10.08</v>
      </c>
      <c r="M459" s="124">
        <f>+L459+L460</f>
        <v>77.28</v>
      </c>
      <c r="N459" s="126">
        <f>+E454-M459</f>
        <v>863.52</v>
      </c>
      <c r="O459" s="127"/>
    </row>
    <row r="460" spans="2:18" x14ac:dyDescent="0.25">
      <c r="B460" s="2" t="s">
        <v>53</v>
      </c>
      <c r="C460" s="7">
        <v>505</v>
      </c>
      <c r="D460" s="9" t="s">
        <v>171</v>
      </c>
      <c r="E460" s="119" t="s">
        <v>172</v>
      </c>
      <c r="F460" s="119"/>
      <c r="G460" s="48">
        <v>320</v>
      </c>
      <c r="H460" s="120" t="s">
        <v>153</v>
      </c>
      <c r="I460" s="121"/>
      <c r="J460" s="122">
        <v>0.08</v>
      </c>
      <c r="K460" s="123"/>
      <c r="L460" s="20">
        <f>(E451+E450-E452)*J460</f>
        <v>67.2</v>
      </c>
      <c r="M460" s="125"/>
      <c r="N460" s="128"/>
      <c r="O460" s="129"/>
    </row>
    <row r="461" spans="2:18" x14ac:dyDescent="0.25">
      <c r="B461" s="2" t="s">
        <v>55</v>
      </c>
      <c r="C461" s="3" t="str">
        <f>+CONCATENATE(C453,"-",C454,"-",C455)</f>
        <v>001-1486-</v>
      </c>
    </row>
    <row r="462" spans="2:18" x14ac:dyDescent="0.25">
      <c r="B462" s="2" t="s">
        <v>57</v>
      </c>
      <c r="C462" s="21" t="str">
        <f>+C452</f>
        <v>001</v>
      </c>
    </row>
    <row r="463" spans="2:18" x14ac:dyDescent="0.25">
      <c r="B463" s="2" t="s">
        <v>86</v>
      </c>
      <c r="C463" s="21" t="s">
        <v>143</v>
      </c>
      <c r="E463" s="31" t="s">
        <v>279</v>
      </c>
    </row>
    <row r="464" spans="2:18" x14ac:dyDescent="0.25">
      <c r="B464" s="2" t="s">
        <v>58</v>
      </c>
      <c r="C464" s="21" t="s">
        <v>73</v>
      </c>
    </row>
    <row r="465" spans="1:18" x14ac:dyDescent="0.25">
      <c r="B465" s="2" t="s">
        <v>60</v>
      </c>
      <c r="C465" s="21" t="s">
        <v>74</v>
      </c>
      <c r="D465" s="9" t="s">
        <v>154</v>
      </c>
    </row>
    <row r="466" spans="1:18" x14ac:dyDescent="0.25">
      <c r="B466" s="2" t="s">
        <v>61</v>
      </c>
      <c r="C466" s="27">
        <f>+(E454-M459)*D466</f>
        <v>259.05599999999998</v>
      </c>
      <c r="D466" s="43">
        <v>0.3</v>
      </c>
    </row>
    <row r="467" spans="1:18" x14ac:dyDescent="0.25">
      <c r="B467" s="2" t="s">
        <v>60</v>
      </c>
      <c r="C467" s="21" t="s">
        <v>75</v>
      </c>
      <c r="D467" s="9" t="s">
        <v>154</v>
      </c>
    </row>
    <row r="468" spans="1:18" x14ac:dyDescent="0.25">
      <c r="B468" s="2" t="s">
        <v>61</v>
      </c>
      <c r="C468" s="27">
        <f>+(E454-M459)*D468</f>
        <v>259.05599999999998</v>
      </c>
      <c r="D468" s="43">
        <v>0.3</v>
      </c>
      <c r="E468" s="28"/>
      <c r="F468" s="28"/>
      <c r="H468" s="23"/>
      <c r="I468" s="23"/>
      <c r="J468" s="24"/>
      <c r="K468" s="24"/>
      <c r="L468" s="25"/>
      <c r="M468" s="26"/>
      <c r="N468" s="22"/>
      <c r="O468" s="22"/>
    </row>
    <row r="469" spans="1:18" x14ac:dyDescent="0.25">
      <c r="B469" s="2" t="s">
        <v>58</v>
      </c>
      <c r="C469" s="21" t="s">
        <v>76</v>
      </c>
      <c r="D469" s="9"/>
    </row>
    <row r="470" spans="1:18" x14ac:dyDescent="0.25">
      <c r="B470" s="2" t="s">
        <v>60</v>
      </c>
      <c r="C470" s="21" t="s">
        <v>89</v>
      </c>
      <c r="D470" s="9" t="s">
        <v>154</v>
      </c>
    </row>
    <row r="471" spans="1:18" x14ac:dyDescent="0.25">
      <c r="B471" s="2" t="s">
        <v>61</v>
      </c>
      <c r="C471" s="27">
        <f>+(E454-M459)*D471</f>
        <v>345.40800000000002</v>
      </c>
      <c r="D471" s="43">
        <v>0.4</v>
      </c>
    </row>
    <row r="472" spans="1:18" x14ac:dyDescent="0.25">
      <c r="C472" s="36"/>
    </row>
    <row r="473" spans="1:18" x14ac:dyDescent="0.25">
      <c r="C473" s="36"/>
    </row>
    <row r="474" spans="1:18" ht="26.25" x14ac:dyDescent="0.4">
      <c r="A474" s="34" t="s">
        <v>212</v>
      </c>
      <c r="B474" s="34" t="s">
        <v>145</v>
      </c>
      <c r="C474" s="1" t="s">
        <v>228</v>
      </c>
    </row>
    <row r="475" spans="1:18" x14ac:dyDescent="0.25">
      <c r="B475" s="112" t="s">
        <v>5</v>
      </c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</row>
    <row r="476" spans="1:18" x14ac:dyDescent="0.25">
      <c r="B476" s="2" t="s">
        <v>6</v>
      </c>
      <c r="C476" s="3" t="s">
        <v>216</v>
      </c>
      <c r="D476" s="4" t="s">
        <v>8</v>
      </c>
      <c r="E476" s="5" t="s">
        <v>9</v>
      </c>
      <c r="F476" s="5" t="s">
        <v>14</v>
      </c>
      <c r="G476" s="5" t="s">
        <v>10</v>
      </c>
      <c r="H476" s="5" t="s">
        <v>11</v>
      </c>
      <c r="I476" s="5" t="s">
        <v>148</v>
      </c>
      <c r="J476" s="5" t="s">
        <v>149</v>
      </c>
      <c r="K476" s="5" t="s">
        <v>12</v>
      </c>
      <c r="L476" s="5" t="s">
        <v>13</v>
      </c>
      <c r="M476" s="5" t="s">
        <v>40</v>
      </c>
      <c r="N476" s="5" t="s">
        <v>14</v>
      </c>
      <c r="O476" s="5" t="s">
        <v>15</v>
      </c>
      <c r="P476" s="5" t="s">
        <v>16</v>
      </c>
      <c r="Q476" s="5" t="s">
        <v>17</v>
      </c>
      <c r="R476" s="5" t="s">
        <v>18</v>
      </c>
    </row>
    <row r="477" spans="1:18" x14ac:dyDescent="0.25">
      <c r="B477" s="2" t="s">
        <v>19</v>
      </c>
      <c r="C477" s="33" t="s">
        <v>217</v>
      </c>
      <c r="D477" s="7">
        <v>2</v>
      </c>
      <c r="E477" s="9" t="s">
        <v>95</v>
      </c>
      <c r="F477" s="43">
        <v>0.12</v>
      </c>
      <c r="G477" s="7" t="s">
        <v>351</v>
      </c>
      <c r="H477" s="51">
        <v>420</v>
      </c>
      <c r="I477" s="51">
        <f>+IF(F477=0%,D477*H477,0)</f>
        <v>0</v>
      </c>
      <c r="J477" s="51">
        <f>+IF(F477=12%,D477*H477,0)</f>
        <v>840</v>
      </c>
      <c r="K477" s="52">
        <v>0</v>
      </c>
      <c r="L477" s="53">
        <v>0</v>
      </c>
      <c r="M477" s="53">
        <f>+J477*K477</f>
        <v>0</v>
      </c>
      <c r="N477" s="53">
        <f>+(J477-M477)*F477</f>
        <v>100.8</v>
      </c>
      <c r="O477" s="53">
        <f>+J477-M477+N477</f>
        <v>940.8</v>
      </c>
      <c r="P477" s="9" t="s">
        <v>221</v>
      </c>
      <c r="Q477" s="9" t="s">
        <v>222</v>
      </c>
      <c r="R477" s="7" t="s">
        <v>25</v>
      </c>
    </row>
    <row r="478" spans="1:18" x14ac:dyDescent="0.25">
      <c r="B478" s="2" t="s">
        <v>21</v>
      </c>
      <c r="C478" s="15" t="s">
        <v>22</v>
      </c>
      <c r="D478" s="7"/>
      <c r="E478" s="9"/>
      <c r="F478" s="43"/>
      <c r="G478" s="35"/>
      <c r="H478" s="51"/>
      <c r="I478" s="51"/>
      <c r="J478" s="51"/>
      <c r="K478" s="52"/>
      <c r="L478" s="53"/>
      <c r="M478" s="53"/>
      <c r="N478" s="53"/>
      <c r="O478" s="53"/>
      <c r="P478" s="7"/>
      <c r="Q478" s="9"/>
      <c r="R478" s="7"/>
    </row>
    <row r="479" spans="1:18" ht="30" x14ac:dyDescent="0.25">
      <c r="B479" s="2" t="s">
        <v>23</v>
      </c>
      <c r="C479" s="30" t="s">
        <v>218</v>
      </c>
      <c r="D479" s="7"/>
      <c r="E479" s="9"/>
      <c r="F479" s="43"/>
      <c r="G479" s="35"/>
      <c r="H479" s="51"/>
      <c r="I479" s="51"/>
      <c r="J479" s="51"/>
      <c r="K479" s="52"/>
      <c r="L479" s="53"/>
      <c r="M479" s="53"/>
      <c r="N479" s="53"/>
      <c r="O479" s="53"/>
      <c r="P479" s="7"/>
      <c r="Q479" s="9"/>
      <c r="R479" s="7"/>
    </row>
    <row r="480" spans="1:18" x14ac:dyDescent="0.25">
      <c r="B480" s="2" t="s">
        <v>26</v>
      </c>
      <c r="C480" s="12" t="s">
        <v>219</v>
      </c>
      <c r="D480" s="7"/>
      <c r="E480" s="9"/>
      <c r="F480" s="43"/>
      <c r="G480" s="35"/>
      <c r="H480" s="51"/>
      <c r="I480" s="51"/>
      <c r="J480" s="51"/>
      <c r="K480" s="52"/>
      <c r="L480" s="53"/>
      <c r="M480" s="53"/>
      <c r="N480" s="53"/>
      <c r="O480" s="53"/>
      <c r="P480" s="7"/>
      <c r="Q480" s="9"/>
      <c r="R480" s="7"/>
    </row>
    <row r="481" spans="2:18" x14ac:dyDescent="0.25">
      <c r="B481" s="2" t="s">
        <v>27</v>
      </c>
      <c r="C481" s="3" t="s">
        <v>28</v>
      </c>
      <c r="D481" s="13"/>
      <c r="E481" s="9"/>
      <c r="F481" s="9"/>
      <c r="G481" s="9"/>
      <c r="H481" s="10"/>
      <c r="I481" s="10"/>
      <c r="J481" s="10"/>
      <c r="K481" s="10"/>
      <c r="L481" s="9"/>
      <c r="M481" s="10"/>
      <c r="N481" s="10"/>
      <c r="O481" s="11"/>
      <c r="P481" s="7"/>
      <c r="Q481" s="9"/>
      <c r="R481" s="7"/>
    </row>
    <row r="482" spans="2:18" ht="15.75" thickBot="1" x14ac:dyDescent="0.3">
      <c r="B482" s="2" t="s">
        <v>29</v>
      </c>
      <c r="C482" s="3">
        <v>1</v>
      </c>
      <c r="D482" s="13"/>
      <c r="E482" s="9"/>
      <c r="F482" s="9"/>
      <c r="G482" s="9"/>
      <c r="H482" s="10"/>
      <c r="I482" s="10"/>
      <c r="J482" s="10"/>
      <c r="K482" s="10"/>
      <c r="L482" s="9"/>
      <c r="M482" s="10"/>
      <c r="N482" s="10"/>
      <c r="O482" s="11"/>
      <c r="P482" s="9"/>
      <c r="Q482" s="9"/>
      <c r="R482" s="7"/>
    </row>
    <row r="483" spans="2:18" ht="15.75" thickBot="1" x14ac:dyDescent="0.3">
      <c r="B483" s="2" t="s">
        <v>30</v>
      </c>
      <c r="C483" s="7">
        <v>1122728319</v>
      </c>
      <c r="D483" s="16" t="s">
        <v>34</v>
      </c>
      <c r="E483" s="40">
        <f>+SUM(I477:I480)</f>
        <v>0</v>
      </c>
    </row>
    <row r="484" spans="2:18" ht="15.75" thickBot="1" x14ac:dyDescent="0.3">
      <c r="B484" s="2" t="s">
        <v>31</v>
      </c>
      <c r="C484" s="14">
        <v>43501</v>
      </c>
      <c r="D484" s="16" t="s">
        <v>36</v>
      </c>
      <c r="E484" s="17">
        <f>+SUM(J477:J482)</f>
        <v>840</v>
      </c>
    </row>
    <row r="485" spans="2:18" ht="15.75" thickBot="1" x14ac:dyDescent="0.3">
      <c r="B485" s="2" t="s">
        <v>32</v>
      </c>
      <c r="C485" s="15" t="s">
        <v>33</v>
      </c>
      <c r="D485" s="16" t="s">
        <v>39</v>
      </c>
      <c r="E485" s="17">
        <f>SUM(M477:M482)</f>
        <v>0</v>
      </c>
    </row>
    <row r="486" spans="2:18" ht="15.75" thickBot="1" x14ac:dyDescent="0.3">
      <c r="B486" s="2" t="s">
        <v>35</v>
      </c>
      <c r="C486" s="15" t="s">
        <v>33</v>
      </c>
      <c r="D486" s="16" t="s">
        <v>14</v>
      </c>
      <c r="E486" s="17">
        <f>SUM(N477:N482)</f>
        <v>100.8</v>
      </c>
    </row>
    <row r="487" spans="2:18" ht="15.75" thickBot="1" x14ac:dyDescent="0.3">
      <c r="B487" s="2" t="s">
        <v>37</v>
      </c>
      <c r="C487" s="15" t="s">
        <v>255</v>
      </c>
      <c r="D487" s="16" t="s">
        <v>15</v>
      </c>
      <c r="E487" s="17">
        <f>SUM(O477:O482)</f>
        <v>940.8</v>
      </c>
    </row>
    <row r="488" spans="2:18" x14ac:dyDescent="0.25">
      <c r="B488" s="18"/>
      <c r="C488" s="18"/>
    </row>
    <row r="490" spans="2:18" x14ac:dyDescent="0.25">
      <c r="B490" s="114" t="s">
        <v>47</v>
      </c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</row>
    <row r="491" spans="2:18" x14ac:dyDescent="0.25">
      <c r="B491" s="2" t="s">
        <v>48</v>
      </c>
      <c r="C491" s="15" t="s">
        <v>33</v>
      </c>
      <c r="D491" s="19" t="s">
        <v>16</v>
      </c>
      <c r="E491" s="115" t="s">
        <v>152</v>
      </c>
      <c r="F491" s="116"/>
      <c r="G491" s="47" t="s">
        <v>150</v>
      </c>
      <c r="H491" s="117" t="s">
        <v>49</v>
      </c>
      <c r="I491" s="118"/>
      <c r="J491" s="117" t="s">
        <v>151</v>
      </c>
      <c r="K491" s="118"/>
      <c r="L491" s="5" t="s">
        <v>50</v>
      </c>
      <c r="M491" s="5" t="s">
        <v>51</v>
      </c>
      <c r="N491" s="117" t="s">
        <v>155</v>
      </c>
      <c r="O491" s="118"/>
    </row>
    <row r="492" spans="2:18" x14ac:dyDescent="0.25">
      <c r="B492" s="2" t="s">
        <v>52</v>
      </c>
      <c r="C492" s="15" t="s">
        <v>33</v>
      </c>
      <c r="D492" s="9" t="s">
        <v>181</v>
      </c>
      <c r="E492" s="119" t="s">
        <v>182</v>
      </c>
      <c r="F492" s="119"/>
      <c r="G492" s="48">
        <v>723</v>
      </c>
      <c r="H492" s="120" t="s">
        <v>14</v>
      </c>
      <c r="I492" s="121"/>
      <c r="J492" s="122">
        <v>0.2</v>
      </c>
      <c r="K492" s="123"/>
      <c r="L492" s="20">
        <f>+E486*J492</f>
        <v>20.16</v>
      </c>
      <c r="M492" s="124">
        <f>+L492+L493</f>
        <v>36.96</v>
      </c>
      <c r="N492" s="126">
        <f>+E487-M492</f>
        <v>903.83999999999992</v>
      </c>
      <c r="O492" s="127"/>
    </row>
    <row r="493" spans="2:18" x14ac:dyDescent="0.25">
      <c r="B493" s="2" t="s">
        <v>53</v>
      </c>
      <c r="C493" s="15" t="s">
        <v>164</v>
      </c>
      <c r="D493" s="9" t="s">
        <v>175</v>
      </c>
      <c r="E493" s="119" t="s">
        <v>176</v>
      </c>
      <c r="F493" s="119"/>
      <c r="G493" s="48">
        <v>311</v>
      </c>
      <c r="H493" s="120" t="s">
        <v>153</v>
      </c>
      <c r="I493" s="121"/>
      <c r="J493" s="122">
        <v>0.02</v>
      </c>
      <c r="K493" s="123"/>
      <c r="L493" s="20">
        <f>(E484+E483-E485)*J493</f>
        <v>16.8</v>
      </c>
      <c r="M493" s="125"/>
      <c r="N493" s="128"/>
      <c r="O493" s="129"/>
    </row>
    <row r="494" spans="2:18" x14ac:dyDescent="0.25">
      <c r="B494" s="2" t="s">
        <v>55</v>
      </c>
      <c r="C494" s="3" t="str">
        <f>+CONCATENATE(C484,"-",C485,"-",C486)</f>
        <v>43501-001-001</v>
      </c>
    </row>
    <row r="495" spans="2:18" x14ac:dyDescent="0.25">
      <c r="B495" s="2" t="s">
        <v>57</v>
      </c>
      <c r="C495" s="21">
        <f>+C484</f>
        <v>43501</v>
      </c>
    </row>
    <row r="496" spans="2:18" x14ac:dyDescent="0.25">
      <c r="B496" s="2" t="s">
        <v>86</v>
      </c>
      <c r="C496" s="21" t="s">
        <v>143</v>
      </c>
      <c r="E496" s="31" t="s">
        <v>279</v>
      </c>
    </row>
    <row r="497" spans="1:18" x14ac:dyDescent="0.25">
      <c r="B497" s="2" t="s">
        <v>58</v>
      </c>
      <c r="C497" s="21" t="s">
        <v>73</v>
      </c>
    </row>
    <row r="498" spans="1:18" x14ac:dyDescent="0.25">
      <c r="B498" s="2" t="s">
        <v>60</v>
      </c>
      <c r="C498" s="21" t="s">
        <v>74</v>
      </c>
      <c r="D498" s="9" t="s">
        <v>154</v>
      </c>
    </row>
    <row r="499" spans="1:18" x14ac:dyDescent="0.25">
      <c r="B499" s="2" t="s">
        <v>61</v>
      </c>
      <c r="C499" s="27">
        <f>+(E487-M492)*D499</f>
        <v>542.30399999999997</v>
      </c>
      <c r="D499" s="43">
        <v>0.6</v>
      </c>
    </row>
    <row r="500" spans="1:18" x14ac:dyDescent="0.25">
      <c r="B500" s="2" t="s">
        <v>147</v>
      </c>
      <c r="C500" s="21" t="s">
        <v>84</v>
      </c>
    </row>
    <row r="501" spans="1:18" x14ac:dyDescent="0.25">
      <c r="B501" s="2" t="s">
        <v>60</v>
      </c>
      <c r="C501" s="21" t="s">
        <v>85</v>
      </c>
      <c r="D501" s="9" t="s">
        <v>154</v>
      </c>
    </row>
    <row r="502" spans="1:18" x14ac:dyDescent="0.25">
      <c r="B502" s="2" t="s">
        <v>61</v>
      </c>
      <c r="C502" s="27">
        <f>+(E487-M492)*D502</f>
        <v>361.536</v>
      </c>
      <c r="D502" s="43">
        <v>0.4</v>
      </c>
    </row>
    <row r="504" spans="1:18" s="71" customFormat="1" x14ac:dyDescent="0.25"/>
    <row r="505" spans="1:18" ht="26.25" x14ac:dyDescent="0.4">
      <c r="A505" s="34" t="s">
        <v>240</v>
      </c>
      <c r="B505" s="34" t="s">
        <v>92</v>
      </c>
      <c r="C505" s="1" t="s">
        <v>239</v>
      </c>
    </row>
    <row r="506" spans="1:18" x14ac:dyDescent="0.25">
      <c r="B506" s="112" t="s">
        <v>5</v>
      </c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</row>
    <row r="507" spans="1:18" x14ac:dyDescent="0.25">
      <c r="B507" s="2" t="s">
        <v>6</v>
      </c>
      <c r="C507" s="3" t="s">
        <v>229</v>
      </c>
      <c r="D507" s="4" t="s">
        <v>8</v>
      </c>
      <c r="E507" s="5" t="s">
        <v>9</v>
      </c>
      <c r="F507" s="5" t="s">
        <v>14</v>
      </c>
      <c r="G507" s="5" t="s">
        <v>10</v>
      </c>
      <c r="H507" s="5" t="s">
        <v>11</v>
      </c>
      <c r="I507" s="5" t="s">
        <v>148</v>
      </c>
      <c r="J507" s="5" t="s">
        <v>149</v>
      </c>
      <c r="K507" s="5" t="s">
        <v>12</v>
      </c>
      <c r="L507" s="5" t="s">
        <v>13</v>
      </c>
      <c r="M507" s="5" t="s">
        <v>40</v>
      </c>
      <c r="N507" s="5" t="s">
        <v>14</v>
      </c>
      <c r="O507" s="5" t="s">
        <v>15</v>
      </c>
      <c r="P507" s="5" t="s">
        <v>16</v>
      </c>
      <c r="Q507" s="5" t="s">
        <v>17</v>
      </c>
      <c r="R507" s="5" t="s">
        <v>18</v>
      </c>
    </row>
    <row r="508" spans="1:18" x14ac:dyDescent="0.25">
      <c r="B508" s="2" t="s">
        <v>19</v>
      </c>
      <c r="C508" s="15" t="s">
        <v>230</v>
      </c>
      <c r="D508" s="7">
        <v>1</v>
      </c>
      <c r="E508" s="9" t="s">
        <v>232</v>
      </c>
      <c r="F508" s="72">
        <v>0.12</v>
      </c>
      <c r="G508" s="7" t="s">
        <v>352</v>
      </c>
      <c r="H508" s="10">
        <v>590</v>
      </c>
      <c r="I508" s="51">
        <f>+IF(F508=0%,D508*H508,0)</f>
        <v>0</v>
      </c>
      <c r="J508" s="51">
        <f>+IF(F508=12%,D508*H508,0)</f>
        <v>590</v>
      </c>
      <c r="K508" s="52">
        <v>0</v>
      </c>
      <c r="L508" s="53">
        <v>0</v>
      </c>
      <c r="M508" s="53">
        <f>+J508*K508</f>
        <v>0</v>
      </c>
      <c r="N508" s="53">
        <f>+(J508-M508)*F508</f>
        <v>70.8</v>
      </c>
      <c r="O508" s="53">
        <f>+J508-M508+N508</f>
        <v>660.8</v>
      </c>
      <c r="P508" s="9" t="s">
        <v>233</v>
      </c>
      <c r="Q508" s="9" t="s">
        <v>234</v>
      </c>
      <c r="R508" s="7" t="s">
        <v>25</v>
      </c>
    </row>
    <row r="509" spans="1:18" x14ac:dyDescent="0.25">
      <c r="B509" s="2" t="s">
        <v>21</v>
      </c>
      <c r="C509" s="15" t="s">
        <v>22</v>
      </c>
      <c r="D509" s="9"/>
      <c r="E509" s="9"/>
      <c r="F509" s="43"/>
      <c r="G509" s="7"/>
      <c r="H509" s="51"/>
      <c r="I509" s="51"/>
      <c r="J509" s="51"/>
      <c r="K509" s="52"/>
      <c r="L509" s="53"/>
      <c r="M509" s="53"/>
      <c r="N509" s="53"/>
      <c r="O509" s="53"/>
      <c r="P509" s="7"/>
      <c r="Q509" s="9"/>
      <c r="R509" s="7"/>
    </row>
    <row r="510" spans="1:18" ht="30" x14ac:dyDescent="0.25">
      <c r="B510" s="2" t="s">
        <v>23</v>
      </c>
      <c r="C510" s="8" t="s">
        <v>24</v>
      </c>
      <c r="D510" s="13"/>
      <c r="E510" s="9"/>
      <c r="F510" s="43"/>
      <c r="G510" s="7"/>
      <c r="H510" s="51"/>
      <c r="I510" s="51"/>
      <c r="J510" s="51"/>
      <c r="K510" s="52"/>
      <c r="L510" s="53"/>
      <c r="M510" s="53"/>
      <c r="N510" s="53"/>
      <c r="O510" s="53"/>
      <c r="P510" s="7"/>
      <c r="Q510" s="9"/>
      <c r="R510" s="7"/>
    </row>
    <row r="511" spans="1:18" x14ac:dyDescent="0.25">
      <c r="B511" s="2" t="s">
        <v>26</v>
      </c>
      <c r="C511" s="12" t="s">
        <v>22</v>
      </c>
      <c r="D511" s="13"/>
      <c r="E511" s="9"/>
      <c r="F511" s="43"/>
      <c r="G511" s="7"/>
      <c r="H511" s="51"/>
      <c r="I511" s="51"/>
      <c r="J511" s="51"/>
      <c r="K511" s="52"/>
      <c r="L511" s="53"/>
      <c r="M511" s="53"/>
      <c r="N511" s="53"/>
      <c r="O511" s="53"/>
      <c r="P511" s="7"/>
      <c r="Q511" s="9"/>
      <c r="R511" s="7"/>
    </row>
    <row r="512" spans="1:18" x14ac:dyDescent="0.25">
      <c r="B512" s="2" t="s">
        <v>27</v>
      </c>
      <c r="C512" s="3" t="s">
        <v>28</v>
      </c>
      <c r="D512" s="9"/>
      <c r="E512" s="9"/>
      <c r="F512" s="9"/>
      <c r="G512" s="7"/>
      <c r="H512" s="10"/>
      <c r="I512" s="10"/>
      <c r="J512" s="10"/>
      <c r="K512" s="10"/>
      <c r="L512" s="9"/>
      <c r="M512" s="10"/>
      <c r="N512" s="10"/>
      <c r="O512" s="11"/>
      <c r="P512" s="7"/>
      <c r="Q512" s="9"/>
      <c r="R512" s="7"/>
    </row>
    <row r="513" spans="1:18" x14ac:dyDescent="0.25">
      <c r="B513" s="2" t="s">
        <v>29</v>
      </c>
      <c r="C513" s="3">
        <v>1</v>
      </c>
      <c r="D513" s="9"/>
      <c r="E513" s="9"/>
      <c r="F513" s="9"/>
      <c r="G513" s="9"/>
      <c r="H513" s="10"/>
      <c r="I513" s="10"/>
      <c r="J513" s="10"/>
      <c r="K513" s="10"/>
      <c r="L513" s="9"/>
      <c r="M513" s="10"/>
      <c r="N513" s="10"/>
      <c r="O513" s="11"/>
      <c r="P513" s="9"/>
      <c r="Q513" s="9"/>
      <c r="R513" s="7"/>
    </row>
    <row r="514" spans="1:18" ht="15.75" thickBot="1" x14ac:dyDescent="0.3">
      <c r="B514" s="2" t="s">
        <v>30</v>
      </c>
      <c r="C514" s="7">
        <v>1121394013</v>
      </c>
      <c r="D514" s="39" t="s">
        <v>148</v>
      </c>
      <c r="E514" s="49">
        <f>+SUM(I508:I511)</f>
        <v>0</v>
      </c>
      <c r="G514" s="23"/>
      <c r="H514" s="41"/>
      <c r="I514" s="41"/>
      <c r="J514" s="41"/>
      <c r="K514" s="41"/>
      <c r="L514" s="23"/>
      <c r="M514" s="41"/>
      <c r="N514" s="41"/>
      <c r="O514" s="42"/>
      <c r="P514" s="23"/>
      <c r="Q514" s="23"/>
      <c r="R514" s="22"/>
    </row>
    <row r="515" spans="1:18" ht="15.75" thickBot="1" x14ac:dyDescent="0.3">
      <c r="B515" s="2" t="s">
        <v>31</v>
      </c>
      <c r="C515" s="14">
        <v>43502</v>
      </c>
      <c r="D515" s="16" t="s">
        <v>36</v>
      </c>
      <c r="E515" s="50">
        <f>+SUM(J508:J513)</f>
        <v>590</v>
      </c>
      <c r="G515" s="23"/>
      <c r="H515" s="41"/>
      <c r="I515" s="41"/>
      <c r="J515" s="41"/>
      <c r="K515" s="41"/>
      <c r="L515" s="23"/>
      <c r="M515" s="41"/>
      <c r="N515" s="41"/>
      <c r="O515" s="42"/>
      <c r="P515" s="23"/>
      <c r="Q515" s="23"/>
      <c r="R515" s="22"/>
    </row>
    <row r="516" spans="1:18" ht="15.75" thickBot="1" x14ac:dyDescent="0.3">
      <c r="B516" s="2" t="s">
        <v>32</v>
      </c>
      <c r="C516" s="15" t="s">
        <v>157</v>
      </c>
      <c r="D516" s="16" t="s">
        <v>39</v>
      </c>
      <c r="E516" s="50">
        <f>SUM(M508:M513)</f>
        <v>0</v>
      </c>
    </row>
    <row r="517" spans="1:18" ht="15.75" thickBot="1" x14ac:dyDescent="0.3">
      <c r="B517" s="2" t="s">
        <v>35</v>
      </c>
      <c r="C517" s="15" t="s">
        <v>231</v>
      </c>
      <c r="D517" s="16" t="s">
        <v>14</v>
      </c>
      <c r="E517" s="50">
        <f>SUM(N508:N513)</f>
        <v>70.8</v>
      </c>
    </row>
    <row r="518" spans="1:18" ht="15.75" thickBot="1" x14ac:dyDescent="0.3">
      <c r="B518" s="2" t="s">
        <v>37</v>
      </c>
      <c r="C518" s="15" t="s">
        <v>256</v>
      </c>
      <c r="D518" s="16" t="s">
        <v>15</v>
      </c>
      <c r="E518" s="50">
        <f>SUM(O508:O513)</f>
        <v>660.8</v>
      </c>
    </row>
    <row r="519" spans="1:18" x14ac:dyDescent="0.25">
      <c r="B519" s="18"/>
      <c r="C519" s="18"/>
    </row>
    <row r="520" spans="1:18" x14ac:dyDescent="0.25">
      <c r="B520" s="18"/>
      <c r="C520" s="18"/>
    </row>
    <row r="521" spans="1:18" x14ac:dyDescent="0.25">
      <c r="B521" s="114" t="s">
        <v>207</v>
      </c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</row>
    <row r="522" spans="1:18" x14ac:dyDescent="0.25">
      <c r="B522" s="2" t="s">
        <v>86</v>
      </c>
      <c r="C522" s="21" t="s">
        <v>87</v>
      </c>
      <c r="D522" s="22"/>
      <c r="E522" s="23"/>
      <c r="F522" s="23"/>
      <c r="H522" s="23"/>
      <c r="I522" s="23"/>
      <c r="J522" s="24"/>
      <c r="K522" s="24"/>
      <c r="L522" s="25"/>
      <c r="M522" s="26"/>
      <c r="N522" s="22"/>
      <c r="O522" s="22"/>
    </row>
    <row r="523" spans="1:18" x14ac:dyDescent="0.25">
      <c r="B523" s="2" t="s">
        <v>59</v>
      </c>
      <c r="C523" s="21" t="s">
        <v>84</v>
      </c>
      <c r="D523" s="22"/>
      <c r="E523" s="28" t="s">
        <v>279</v>
      </c>
      <c r="F523" s="23"/>
      <c r="H523" s="23"/>
      <c r="I523" s="23"/>
      <c r="J523" s="24"/>
      <c r="K523" s="24"/>
      <c r="L523" s="25"/>
      <c r="M523" s="26"/>
      <c r="N523" s="22"/>
      <c r="O523" s="22"/>
    </row>
    <row r="524" spans="1:18" x14ac:dyDescent="0.25">
      <c r="B524" s="2" t="s">
        <v>60</v>
      </c>
      <c r="C524" s="21" t="s">
        <v>85</v>
      </c>
      <c r="D524" s="22"/>
      <c r="E524" s="23"/>
      <c r="F524" s="23"/>
      <c r="H524" s="23"/>
      <c r="I524" s="23"/>
      <c r="J524" s="24"/>
      <c r="K524" s="24"/>
      <c r="L524" s="25"/>
      <c r="M524" s="26"/>
      <c r="N524" s="22"/>
      <c r="O524" s="22"/>
    </row>
    <row r="525" spans="1:18" x14ac:dyDescent="0.25">
      <c r="B525" s="2" t="s">
        <v>61</v>
      </c>
      <c r="C525" s="27">
        <f>+E518</f>
        <v>660.8</v>
      </c>
      <c r="D525" s="22"/>
      <c r="E525" s="28"/>
      <c r="G525" s="23"/>
      <c r="H525" s="24"/>
      <c r="I525" s="24"/>
      <c r="J525" s="24"/>
      <c r="K525" s="25"/>
      <c r="L525" s="26"/>
      <c r="M525" s="22"/>
      <c r="N525" s="22"/>
    </row>
    <row r="528" spans="1:18" ht="26.25" x14ac:dyDescent="0.4">
      <c r="A528" s="34" t="s">
        <v>240</v>
      </c>
      <c r="B528" s="34" t="s">
        <v>93</v>
      </c>
      <c r="C528" s="1" t="s">
        <v>241</v>
      </c>
    </row>
    <row r="529" spans="2:18" x14ac:dyDescent="0.25">
      <c r="B529" s="112" t="s">
        <v>5</v>
      </c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</row>
    <row r="530" spans="2:18" x14ac:dyDescent="0.25">
      <c r="B530" s="2" t="s">
        <v>6</v>
      </c>
      <c r="C530" s="3" t="s">
        <v>229</v>
      </c>
      <c r="D530" s="4" t="s">
        <v>8</v>
      </c>
      <c r="E530" s="5" t="s">
        <v>9</v>
      </c>
      <c r="F530" s="5" t="s">
        <v>14</v>
      </c>
      <c r="G530" s="5" t="s">
        <v>10</v>
      </c>
      <c r="H530" s="5" t="s">
        <v>11</v>
      </c>
      <c r="I530" s="5" t="s">
        <v>148</v>
      </c>
      <c r="J530" s="5" t="s">
        <v>149</v>
      </c>
      <c r="K530" s="5" t="s">
        <v>12</v>
      </c>
      <c r="L530" s="5" t="s">
        <v>13</v>
      </c>
      <c r="M530" s="5" t="s">
        <v>40</v>
      </c>
      <c r="N530" s="5" t="s">
        <v>14</v>
      </c>
      <c r="O530" s="5" t="s">
        <v>15</v>
      </c>
      <c r="P530" s="5" t="s">
        <v>16</v>
      </c>
      <c r="Q530" s="5" t="s">
        <v>17</v>
      </c>
      <c r="R530" s="5" t="s">
        <v>18</v>
      </c>
    </row>
    <row r="531" spans="2:18" x14ac:dyDescent="0.25">
      <c r="B531" s="2" t="s">
        <v>19</v>
      </c>
      <c r="C531" s="15" t="s">
        <v>230</v>
      </c>
      <c r="D531" s="7">
        <v>1</v>
      </c>
      <c r="E531" s="9" t="s">
        <v>232</v>
      </c>
      <c r="F531" s="72">
        <v>0.12</v>
      </c>
      <c r="G531" s="7" t="s">
        <v>352</v>
      </c>
      <c r="H531" s="10">
        <v>1200</v>
      </c>
      <c r="I531" s="51">
        <f>+IF(F531=0%,D531*H531,0)</f>
        <v>0</v>
      </c>
      <c r="J531" s="51">
        <f>+IF(F531=12%,D531*H531,0)</f>
        <v>1200</v>
      </c>
      <c r="K531" s="52">
        <v>0</v>
      </c>
      <c r="L531" s="53">
        <v>0</v>
      </c>
      <c r="M531" s="53">
        <f>+J531*K531</f>
        <v>0</v>
      </c>
      <c r="N531" s="53">
        <f>+(J531-M531)*F531</f>
        <v>144</v>
      </c>
      <c r="O531" s="53">
        <f>+J531-M531+N531</f>
        <v>1344</v>
      </c>
      <c r="P531" s="9" t="s">
        <v>233</v>
      </c>
      <c r="Q531" s="9" t="s">
        <v>234</v>
      </c>
      <c r="R531" s="7" t="s">
        <v>25</v>
      </c>
    </row>
    <row r="532" spans="2:18" x14ac:dyDescent="0.25">
      <c r="B532" s="2" t="s">
        <v>21</v>
      </c>
      <c r="C532" s="15" t="s">
        <v>22</v>
      </c>
      <c r="D532" s="9"/>
      <c r="E532" s="9"/>
      <c r="F532" s="43"/>
      <c r="G532" s="7"/>
      <c r="H532" s="51"/>
      <c r="I532" s="51"/>
      <c r="J532" s="51"/>
      <c r="K532" s="52"/>
      <c r="L532" s="53"/>
      <c r="M532" s="53"/>
      <c r="N532" s="53"/>
      <c r="O532" s="53"/>
      <c r="P532" s="7"/>
      <c r="Q532" s="9"/>
      <c r="R532" s="7"/>
    </row>
    <row r="533" spans="2:18" ht="30" x14ac:dyDescent="0.25">
      <c r="B533" s="2" t="s">
        <v>23</v>
      </c>
      <c r="C533" s="8" t="s">
        <v>24</v>
      </c>
      <c r="D533" s="13"/>
      <c r="E533" s="9"/>
      <c r="F533" s="43"/>
      <c r="G533" s="7"/>
      <c r="H533" s="51"/>
      <c r="I533" s="51"/>
      <c r="J533" s="51"/>
      <c r="K533" s="52"/>
      <c r="L533" s="53"/>
      <c r="M533" s="53"/>
      <c r="N533" s="53"/>
      <c r="O533" s="53"/>
      <c r="P533" s="7"/>
      <c r="Q533" s="9"/>
      <c r="R533" s="7"/>
    </row>
    <row r="534" spans="2:18" x14ac:dyDescent="0.25">
      <c r="B534" s="2" t="s">
        <v>26</v>
      </c>
      <c r="C534" s="12" t="s">
        <v>22</v>
      </c>
      <c r="D534" s="13"/>
      <c r="E534" s="9"/>
      <c r="F534" s="43"/>
      <c r="G534" s="7"/>
      <c r="H534" s="51"/>
      <c r="I534" s="51"/>
      <c r="J534" s="51"/>
      <c r="K534" s="52"/>
      <c r="L534" s="53"/>
      <c r="M534" s="53"/>
      <c r="N534" s="53"/>
      <c r="O534" s="53"/>
      <c r="P534" s="7"/>
      <c r="Q534" s="9"/>
      <c r="R534" s="7"/>
    </row>
    <row r="535" spans="2:18" x14ac:dyDescent="0.25">
      <c r="B535" s="2" t="s">
        <v>27</v>
      </c>
      <c r="C535" s="3" t="s">
        <v>28</v>
      </c>
      <c r="D535" s="9"/>
      <c r="E535" s="9"/>
      <c r="F535" s="9"/>
      <c r="G535" s="9"/>
      <c r="H535" s="10"/>
      <c r="I535" s="10"/>
      <c r="J535" s="10"/>
      <c r="K535" s="10"/>
      <c r="L535" s="9"/>
      <c r="M535" s="10"/>
      <c r="N535" s="10"/>
      <c r="O535" s="11"/>
      <c r="P535" s="7"/>
      <c r="Q535" s="9"/>
      <c r="R535" s="7"/>
    </row>
    <row r="536" spans="2:18" x14ac:dyDescent="0.25">
      <c r="B536" s="2" t="s">
        <v>29</v>
      </c>
      <c r="C536" s="3">
        <v>1</v>
      </c>
      <c r="D536" s="9"/>
      <c r="E536" s="9"/>
      <c r="F536" s="9"/>
      <c r="G536" s="9"/>
      <c r="H536" s="10"/>
      <c r="I536" s="10"/>
      <c r="J536" s="10"/>
      <c r="K536" s="10"/>
      <c r="L536" s="9"/>
      <c r="M536" s="10"/>
      <c r="N536" s="10"/>
      <c r="O536" s="11"/>
      <c r="P536" s="9"/>
      <c r="Q536" s="9"/>
      <c r="R536" s="7"/>
    </row>
    <row r="537" spans="2:18" ht="15.75" thickBot="1" x14ac:dyDescent="0.3">
      <c r="B537" s="2" t="s">
        <v>30</v>
      </c>
      <c r="C537" s="7">
        <v>1121394013</v>
      </c>
      <c r="D537" s="39" t="s">
        <v>34</v>
      </c>
      <c r="E537" s="40">
        <f>+SUM(I531:I534)</f>
        <v>0</v>
      </c>
      <c r="F537" s="23"/>
      <c r="G537" s="23"/>
      <c r="H537" s="41"/>
      <c r="I537" s="41"/>
      <c r="J537" s="41"/>
      <c r="K537" s="41"/>
      <c r="L537" s="23"/>
      <c r="M537" s="41"/>
      <c r="N537" s="41"/>
      <c r="O537" s="42"/>
      <c r="P537" s="23"/>
      <c r="Q537" s="23"/>
      <c r="R537" s="22"/>
    </row>
    <row r="538" spans="2:18" ht="15.75" thickBot="1" x14ac:dyDescent="0.3">
      <c r="B538" s="2" t="s">
        <v>31</v>
      </c>
      <c r="C538" s="14">
        <v>43502</v>
      </c>
      <c r="D538" s="16" t="s">
        <v>36</v>
      </c>
      <c r="E538" s="17">
        <f>+SUM(J531:J536)</f>
        <v>1200</v>
      </c>
      <c r="F538" s="23"/>
      <c r="G538" s="23"/>
      <c r="H538" s="41"/>
      <c r="I538" s="41"/>
      <c r="J538" s="41"/>
      <c r="K538" s="41"/>
      <c r="L538" s="23"/>
      <c r="M538" s="41"/>
      <c r="N538" s="41"/>
      <c r="O538" s="42"/>
      <c r="P538" s="23"/>
      <c r="Q538" s="23"/>
      <c r="R538" s="22"/>
    </row>
    <row r="539" spans="2:18" ht="15.75" thickBot="1" x14ac:dyDescent="0.3">
      <c r="B539" s="2" t="s">
        <v>32</v>
      </c>
      <c r="C539" s="15" t="s">
        <v>157</v>
      </c>
      <c r="D539" s="16" t="s">
        <v>39</v>
      </c>
      <c r="E539" s="17">
        <f>SUM(M531:M536)</f>
        <v>0</v>
      </c>
      <c r="F539" s="23"/>
    </row>
    <row r="540" spans="2:18" ht="15.75" thickBot="1" x14ac:dyDescent="0.3">
      <c r="B540" s="2" t="s">
        <v>35</v>
      </c>
      <c r="C540" s="15" t="s">
        <v>231</v>
      </c>
      <c r="D540" s="16" t="s">
        <v>14</v>
      </c>
      <c r="E540" s="17">
        <f>SUM(N531:N536)</f>
        <v>144</v>
      </c>
      <c r="F540" s="23"/>
    </row>
    <row r="541" spans="2:18" ht="15.75" thickBot="1" x14ac:dyDescent="0.3">
      <c r="B541" s="2" t="s">
        <v>37</v>
      </c>
      <c r="C541" s="15" t="s">
        <v>257</v>
      </c>
      <c r="D541" s="16" t="s">
        <v>15</v>
      </c>
      <c r="E541" s="17">
        <f>SUM(O531:O536)</f>
        <v>1344</v>
      </c>
      <c r="F541" s="23"/>
    </row>
    <row r="542" spans="2:18" x14ac:dyDescent="0.25">
      <c r="B542" s="18"/>
      <c r="C542" s="18"/>
    </row>
    <row r="543" spans="2:18" x14ac:dyDescent="0.25">
      <c r="B543" s="18"/>
      <c r="C543" s="18"/>
    </row>
    <row r="544" spans="2:18" x14ac:dyDescent="0.25">
      <c r="B544" s="114" t="s">
        <v>207</v>
      </c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</row>
    <row r="545" spans="1:18" x14ac:dyDescent="0.25">
      <c r="B545" s="2" t="s">
        <v>86</v>
      </c>
      <c r="C545" s="21" t="s">
        <v>87</v>
      </c>
      <c r="D545" s="22"/>
      <c r="E545" s="23"/>
      <c r="F545" s="23"/>
      <c r="G545" s="23"/>
      <c r="H545" s="23"/>
      <c r="I545" s="23"/>
      <c r="J545" s="24"/>
      <c r="K545" s="24"/>
      <c r="L545" s="25"/>
      <c r="M545" s="26"/>
      <c r="N545" s="22"/>
      <c r="O545" s="22"/>
    </row>
    <row r="546" spans="1:18" x14ac:dyDescent="0.25">
      <c r="B546" s="2" t="s">
        <v>59</v>
      </c>
      <c r="C546" s="21" t="s">
        <v>88</v>
      </c>
      <c r="D546" s="22"/>
      <c r="E546" s="23"/>
      <c r="F546" s="23"/>
      <c r="G546" s="23"/>
      <c r="H546" s="23"/>
      <c r="I546" s="23"/>
      <c r="J546" s="24"/>
      <c r="K546" s="24"/>
      <c r="L546" s="25"/>
      <c r="M546" s="26"/>
      <c r="N546" s="22"/>
      <c r="O546" s="22"/>
    </row>
    <row r="547" spans="1:18" x14ac:dyDescent="0.25">
      <c r="B547" s="2" t="s">
        <v>60</v>
      </c>
      <c r="C547" s="21" t="s">
        <v>89</v>
      </c>
      <c r="D547" s="22"/>
      <c r="E547" s="28" t="s">
        <v>279</v>
      </c>
      <c r="F547" s="23"/>
      <c r="G547" s="23"/>
      <c r="H547" s="23"/>
      <c r="I547" s="23"/>
      <c r="J547" s="24"/>
      <c r="K547" s="24"/>
      <c r="L547" s="25"/>
      <c r="M547" s="26"/>
      <c r="N547" s="22"/>
      <c r="O547" s="22"/>
    </row>
    <row r="548" spans="1:18" x14ac:dyDescent="0.25">
      <c r="B548" s="2" t="s">
        <v>61</v>
      </c>
      <c r="C548" s="27">
        <f>+E541</f>
        <v>1344</v>
      </c>
      <c r="D548" s="22"/>
      <c r="E548" s="28"/>
      <c r="G548" s="23"/>
      <c r="H548" s="23"/>
      <c r="I548" s="24"/>
      <c r="J548" s="24"/>
      <c r="K548" s="25"/>
      <c r="L548" s="26"/>
      <c r="M548" s="22"/>
      <c r="N548" s="22"/>
    </row>
    <row r="551" spans="1:18" ht="26.25" x14ac:dyDescent="0.4">
      <c r="A551" s="34" t="s">
        <v>240</v>
      </c>
      <c r="B551" s="34" t="s">
        <v>94</v>
      </c>
      <c r="C551" s="1" t="s">
        <v>242</v>
      </c>
    </row>
    <row r="552" spans="1:18" x14ac:dyDescent="0.25">
      <c r="B552" s="112" t="s">
        <v>5</v>
      </c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</row>
    <row r="553" spans="1:18" x14ac:dyDescent="0.25">
      <c r="B553" s="2" t="s">
        <v>6</v>
      </c>
      <c r="C553" s="3" t="s">
        <v>229</v>
      </c>
      <c r="D553" s="4" t="s">
        <v>8</v>
      </c>
      <c r="E553" s="5" t="s">
        <v>9</v>
      </c>
      <c r="F553" s="5" t="s">
        <v>14</v>
      </c>
      <c r="G553" s="5" t="s">
        <v>10</v>
      </c>
      <c r="H553" s="5" t="s">
        <v>11</v>
      </c>
      <c r="I553" s="5" t="s">
        <v>148</v>
      </c>
      <c r="J553" s="5" t="s">
        <v>149</v>
      </c>
      <c r="K553" s="5" t="s">
        <v>12</v>
      </c>
      <c r="L553" s="5" t="s">
        <v>13</v>
      </c>
      <c r="M553" s="5" t="s">
        <v>40</v>
      </c>
      <c r="N553" s="5" t="s">
        <v>14</v>
      </c>
      <c r="O553" s="5" t="s">
        <v>15</v>
      </c>
      <c r="P553" s="5" t="s">
        <v>16</v>
      </c>
      <c r="Q553" s="5" t="s">
        <v>17</v>
      </c>
      <c r="R553" s="5" t="s">
        <v>18</v>
      </c>
    </row>
    <row r="554" spans="1:18" x14ac:dyDescent="0.25">
      <c r="B554" s="2" t="s">
        <v>19</v>
      </c>
      <c r="C554" s="15" t="s">
        <v>230</v>
      </c>
      <c r="D554" s="7">
        <v>1</v>
      </c>
      <c r="E554" s="9" t="s">
        <v>232</v>
      </c>
      <c r="F554" s="72">
        <v>0.12</v>
      </c>
      <c r="G554" s="7" t="s">
        <v>353</v>
      </c>
      <c r="H554" s="10">
        <v>590</v>
      </c>
      <c r="I554" s="51">
        <f>+IF(F554=0%,D554*H554,0)</f>
        <v>0</v>
      </c>
      <c r="J554" s="51">
        <f>+IF(F554=12%,D554*H554,0)</f>
        <v>590</v>
      </c>
      <c r="K554" s="52">
        <v>0</v>
      </c>
      <c r="L554" s="53">
        <v>0</v>
      </c>
      <c r="M554" s="53">
        <f>+J554*K554</f>
        <v>0</v>
      </c>
      <c r="N554" s="53">
        <f>+(J554-M554)*F554</f>
        <v>70.8</v>
      </c>
      <c r="O554" s="53">
        <f>+J554-M554+N554</f>
        <v>660.8</v>
      </c>
      <c r="P554" s="9" t="s">
        <v>233</v>
      </c>
      <c r="Q554" s="9" t="s">
        <v>234</v>
      </c>
      <c r="R554" s="7" t="s">
        <v>25</v>
      </c>
    </row>
    <row r="555" spans="1:18" x14ac:dyDescent="0.25">
      <c r="B555" s="2" t="s">
        <v>21</v>
      </c>
      <c r="C555" s="15" t="s">
        <v>22</v>
      </c>
      <c r="D555" s="9"/>
      <c r="E555" s="9"/>
      <c r="F555" s="43"/>
      <c r="G555" s="7"/>
      <c r="H555" s="51"/>
      <c r="I555" s="51"/>
      <c r="J555" s="51"/>
      <c r="K555" s="52"/>
      <c r="L555" s="53"/>
      <c r="M555" s="53"/>
      <c r="N555" s="53"/>
      <c r="O555" s="53"/>
      <c r="P555" s="7"/>
      <c r="Q555" s="9"/>
      <c r="R555" s="7"/>
    </row>
    <row r="556" spans="1:18" ht="30" x14ac:dyDescent="0.25">
      <c r="B556" s="2" t="s">
        <v>23</v>
      </c>
      <c r="C556" s="8" t="s">
        <v>24</v>
      </c>
      <c r="D556" s="13"/>
      <c r="E556" s="9"/>
      <c r="F556" s="43"/>
      <c r="G556" s="7"/>
      <c r="H556" s="51"/>
      <c r="I556" s="51"/>
      <c r="J556" s="51"/>
      <c r="K556" s="52"/>
      <c r="L556" s="53"/>
      <c r="M556" s="53"/>
      <c r="N556" s="53"/>
      <c r="O556" s="53"/>
      <c r="P556" s="7"/>
      <c r="Q556" s="9"/>
      <c r="R556" s="7"/>
    </row>
    <row r="557" spans="1:18" x14ac:dyDescent="0.25">
      <c r="B557" s="2" t="s">
        <v>26</v>
      </c>
      <c r="C557" s="12" t="s">
        <v>22</v>
      </c>
      <c r="D557" s="13"/>
      <c r="E557" s="9"/>
      <c r="F557" s="43"/>
      <c r="G557" s="7"/>
      <c r="H557" s="51"/>
      <c r="I557" s="51"/>
      <c r="J557" s="51"/>
      <c r="K557" s="52"/>
      <c r="L557" s="53"/>
      <c r="M557" s="53"/>
      <c r="N557" s="53"/>
      <c r="O557" s="53"/>
      <c r="P557" s="7"/>
      <c r="Q557" s="9"/>
      <c r="R557" s="7"/>
    </row>
    <row r="558" spans="1:18" x14ac:dyDescent="0.25">
      <c r="B558" s="2" t="s">
        <v>27</v>
      </c>
      <c r="C558" s="3" t="s">
        <v>28</v>
      </c>
      <c r="D558" s="13"/>
      <c r="E558" s="9"/>
      <c r="F558" s="9"/>
      <c r="G558" s="9"/>
      <c r="H558" s="10"/>
      <c r="I558" s="10"/>
      <c r="J558" s="10"/>
      <c r="K558" s="10"/>
      <c r="L558" s="9"/>
      <c r="M558" s="10"/>
      <c r="N558" s="10"/>
      <c r="O558" s="11"/>
      <c r="P558" s="7"/>
      <c r="Q558" s="9"/>
      <c r="R558" s="7"/>
    </row>
    <row r="559" spans="1:18" ht="15.75" thickBot="1" x14ac:dyDescent="0.3">
      <c r="B559" s="2" t="s">
        <v>29</v>
      </c>
      <c r="C559" s="3">
        <v>1</v>
      </c>
      <c r="D559" s="13"/>
      <c r="E559" s="9"/>
      <c r="F559" s="9"/>
      <c r="G559" s="9"/>
      <c r="H559" s="10"/>
      <c r="I559" s="10"/>
      <c r="J559" s="10"/>
      <c r="K559" s="10"/>
      <c r="L559" s="9"/>
      <c r="M559" s="10"/>
      <c r="N559" s="10"/>
      <c r="O559" s="11"/>
      <c r="P559" s="9"/>
      <c r="Q559" s="9"/>
      <c r="R559" s="7"/>
    </row>
    <row r="560" spans="1:18" ht="15.75" thickBot="1" x14ac:dyDescent="0.3">
      <c r="B560" s="2" t="s">
        <v>30</v>
      </c>
      <c r="C560" s="7">
        <v>1121394013</v>
      </c>
      <c r="D560" s="16" t="s">
        <v>34</v>
      </c>
      <c r="E560" s="40">
        <f>+SUM(I554:I557)</f>
        <v>0</v>
      </c>
    </row>
    <row r="561" spans="1:18" ht="15.75" thickBot="1" x14ac:dyDescent="0.3">
      <c r="B561" s="2" t="s">
        <v>31</v>
      </c>
      <c r="C561" s="14">
        <v>43502</v>
      </c>
      <c r="D561" s="16" t="s">
        <v>36</v>
      </c>
      <c r="E561" s="17">
        <f>+SUM(J554:J559)</f>
        <v>590</v>
      </c>
    </row>
    <row r="562" spans="1:18" ht="15.75" thickBot="1" x14ac:dyDescent="0.3">
      <c r="B562" s="2" t="s">
        <v>32</v>
      </c>
      <c r="C562" s="15" t="s">
        <v>157</v>
      </c>
      <c r="D562" s="16" t="s">
        <v>39</v>
      </c>
      <c r="E562" s="17">
        <f>SUM(M554:M559)</f>
        <v>0</v>
      </c>
    </row>
    <row r="563" spans="1:18" ht="15.75" thickBot="1" x14ac:dyDescent="0.3">
      <c r="B563" s="2" t="s">
        <v>35</v>
      </c>
      <c r="C563" s="15" t="s">
        <v>231</v>
      </c>
      <c r="D563" s="16" t="s">
        <v>14</v>
      </c>
      <c r="E563" s="17">
        <f>SUM(N554:N559)</f>
        <v>70.8</v>
      </c>
    </row>
    <row r="564" spans="1:18" ht="15.75" thickBot="1" x14ac:dyDescent="0.3">
      <c r="B564" s="2" t="s">
        <v>37</v>
      </c>
      <c r="C564" s="15" t="s">
        <v>258</v>
      </c>
      <c r="D564" s="16" t="s">
        <v>15</v>
      </c>
      <c r="E564" s="17">
        <f>SUM(O554:O559)</f>
        <v>660.8</v>
      </c>
    </row>
    <row r="565" spans="1:18" x14ac:dyDescent="0.25">
      <c r="B565" s="18"/>
      <c r="C565" s="18"/>
    </row>
    <row r="567" spans="1:18" x14ac:dyDescent="0.25">
      <c r="B567" s="114" t="s">
        <v>207</v>
      </c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</row>
    <row r="568" spans="1:18" x14ac:dyDescent="0.25">
      <c r="B568" s="2" t="s">
        <v>86</v>
      </c>
      <c r="C568" s="21" t="s">
        <v>87</v>
      </c>
    </row>
    <row r="569" spans="1:18" x14ac:dyDescent="0.25">
      <c r="B569" s="2" t="s">
        <v>59</v>
      </c>
      <c r="C569" s="21" t="s">
        <v>90</v>
      </c>
      <c r="E569" s="31" t="s">
        <v>279</v>
      </c>
    </row>
    <row r="570" spans="1:18" x14ac:dyDescent="0.25">
      <c r="B570" s="2" t="s">
        <v>60</v>
      </c>
      <c r="C570" s="21" t="s">
        <v>91</v>
      </c>
    </row>
    <row r="571" spans="1:18" x14ac:dyDescent="0.25">
      <c r="B571" s="2" t="s">
        <v>61</v>
      </c>
      <c r="C571" s="27">
        <f>+E564</f>
        <v>660.8</v>
      </c>
    </row>
    <row r="574" spans="1:18" ht="26.25" x14ac:dyDescent="0.4">
      <c r="A574" s="34" t="s">
        <v>240</v>
      </c>
      <c r="B574" s="34" t="s">
        <v>140</v>
      </c>
      <c r="C574" s="1" t="s">
        <v>243</v>
      </c>
    </row>
    <row r="575" spans="1:18" x14ac:dyDescent="0.25">
      <c r="B575" s="112" t="s">
        <v>5</v>
      </c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</row>
    <row r="576" spans="1:18" x14ac:dyDescent="0.25">
      <c r="B576" s="2" t="s">
        <v>6</v>
      </c>
      <c r="C576" s="3" t="s">
        <v>235</v>
      </c>
      <c r="D576" s="4" t="s">
        <v>8</v>
      </c>
      <c r="E576" s="5" t="s">
        <v>9</v>
      </c>
      <c r="F576" s="5" t="s">
        <v>14</v>
      </c>
      <c r="G576" s="5" t="s">
        <v>10</v>
      </c>
      <c r="H576" s="5" t="s">
        <v>11</v>
      </c>
      <c r="I576" s="5" t="s">
        <v>148</v>
      </c>
      <c r="J576" s="5" t="s">
        <v>149</v>
      </c>
      <c r="K576" s="5" t="s">
        <v>12</v>
      </c>
      <c r="L576" s="5" t="s">
        <v>13</v>
      </c>
      <c r="M576" s="5" t="s">
        <v>40</v>
      </c>
      <c r="N576" s="5" t="s">
        <v>14</v>
      </c>
      <c r="O576" s="5" t="s">
        <v>15</v>
      </c>
      <c r="P576" s="5" t="s">
        <v>16</v>
      </c>
      <c r="Q576" s="5" t="s">
        <v>17</v>
      </c>
      <c r="R576" s="5" t="s">
        <v>18</v>
      </c>
    </row>
    <row r="577" spans="2:18" x14ac:dyDescent="0.25">
      <c r="B577" s="2" t="s">
        <v>19</v>
      </c>
      <c r="C577" s="33" t="s">
        <v>236</v>
      </c>
      <c r="D577" s="7">
        <v>36</v>
      </c>
      <c r="E577" t="s">
        <v>121</v>
      </c>
      <c r="F577" s="72">
        <v>0.12</v>
      </c>
      <c r="G577" t="s">
        <v>354</v>
      </c>
      <c r="H577" s="51">
        <v>2.5</v>
      </c>
      <c r="I577" s="51">
        <f>+IF(F577=0%,D577*H577,0)</f>
        <v>0</v>
      </c>
      <c r="J577" s="51">
        <f>+IF(F577=12%,D577*H577,0)</f>
        <v>90</v>
      </c>
      <c r="K577" s="52">
        <v>0</v>
      </c>
      <c r="L577" s="53">
        <v>0</v>
      </c>
      <c r="M577" s="53">
        <f>+J577*K577</f>
        <v>0</v>
      </c>
      <c r="N577" s="53">
        <f>+(J577-M577)*F577</f>
        <v>10.799999999999999</v>
      </c>
      <c r="O577" s="53">
        <f>+J577-M577+N577</f>
        <v>100.8</v>
      </c>
      <c r="P577" s="9" t="s">
        <v>237</v>
      </c>
      <c r="Q577" s="9" t="s">
        <v>238</v>
      </c>
      <c r="R577" s="7" t="s">
        <v>25</v>
      </c>
    </row>
    <row r="578" spans="2:18" x14ac:dyDescent="0.25">
      <c r="B578" s="2" t="s">
        <v>21</v>
      </c>
      <c r="C578" s="15" t="s">
        <v>22</v>
      </c>
      <c r="D578" s="7"/>
      <c r="E578" s="9"/>
      <c r="F578" s="43"/>
      <c r="G578" s="35"/>
      <c r="H578" s="51"/>
      <c r="I578" s="51"/>
      <c r="J578" s="51"/>
      <c r="K578" s="52"/>
      <c r="L578" s="53"/>
      <c r="M578" s="53"/>
      <c r="N578" s="53"/>
      <c r="O578" s="53"/>
      <c r="P578" s="7"/>
      <c r="Q578" s="9"/>
      <c r="R578" s="7"/>
    </row>
    <row r="579" spans="2:18" ht="30" x14ac:dyDescent="0.25">
      <c r="B579" s="2" t="s">
        <v>23</v>
      </c>
      <c r="C579" s="8" t="s">
        <v>24</v>
      </c>
      <c r="D579" s="7"/>
      <c r="E579" s="9"/>
      <c r="F579" s="43"/>
      <c r="G579" s="35"/>
      <c r="H579" s="51"/>
      <c r="I579" s="51"/>
      <c r="J579" s="51"/>
      <c r="K579" s="52"/>
      <c r="L579" s="53"/>
      <c r="M579" s="53"/>
      <c r="N579" s="53"/>
      <c r="O579" s="53"/>
      <c r="P579" s="7"/>
      <c r="Q579" s="9"/>
      <c r="R579" s="7"/>
    </row>
    <row r="580" spans="2:18" x14ac:dyDescent="0.25">
      <c r="B580" s="2" t="s">
        <v>26</v>
      </c>
      <c r="C580" s="12" t="s">
        <v>22</v>
      </c>
      <c r="D580" s="7"/>
      <c r="E580" s="9"/>
      <c r="F580" s="43"/>
      <c r="G580" s="35"/>
      <c r="H580" s="51"/>
      <c r="I580" s="51"/>
      <c r="J580" s="51"/>
      <c r="K580" s="52"/>
      <c r="L580" s="53"/>
      <c r="M580" s="53"/>
      <c r="N580" s="53"/>
      <c r="O580" s="53"/>
      <c r="P580" s="7"/>
      <c r="Q580" s="9"/>
      <c r="R580" s="7"/>
    </row>
    <row r="581" spans="2:18" x14ac:dyDescent="0.25">
      <c r="B581" s="2" t="s">
        <v>27</v>
      </c>
      <c r="C581" s="3" t="s">
        <v>28</v>
      </c>
      <c r="D581" s="13"/>
      <c r="E581" s="9"/>
      <c r="F581" s="9"/>
      <c r="G581" s="9"/>
      <c r="H581" s="10"/>
      <c r="I581" s="10"/>
      <c r="J581" s="10"/>
      <c r="K581" s="10"/>
      <c r="L581" s="9"/>
      <c r="M581" s="10"/>
      <c r="N581" s="10"/>
      <c r="O581" s="11"/>
      <c r="P581" s="7"/>
      <c r="Q581" s="9"/>
      <c r="R581" s="7"/>
    </row>
    <row r="582" spans="2:18" ht="15.75" thickBot="1" x14ac:dyDescent="0.3">
      <c r="B582" s="2" t="s">
        <v>29</v>
      </c>
      <c r="C582" s="3">
        <v>1</v>
      </c>
      <c r="D582" s="13"/>
      <c r="E582" s="9"/>
      <c r="F582" s="9"/>
      <c r="G582" s="9"/>
      <c r="H582" s="10"/>
      <c r="I582" s="10"/>
      <c r="J582" s="10"/>
      <c r="K582" s="10"/>
      <c r="L582" s="9"/>
      <c r="M582" s="10"/>
      <c r="N582" s="10"/>
      <c r="O582" s="11"/>
      <c r="P582" s="9"/>
      <c r="Q582" s="9"/>
      <c r="R582" s="7"/>
    </row>
    <row r="583" spans="2:18" ht="15.75" thickBot="1" x14ac:dyDescent="0.3">
      <c r="B583" s="2" t="s">
        <v>30</v>
      </c>
      <c r="C583" s="3">
        <v>1120885317</v>
      </c>
      <c r="D583" s="16" t="s">
        <v>34</v>
      </c>
      <c r="E583" s="40">
        <f>+SUM(I577:I580)</f>
        <v>0</v>
      </c>
    </row>
    <row r="584" spans="2:18" ht="15.75" thickBot="1" x14ac:dyDescent="0.3">
      <c r="B584" s="2" t="s">
        <v>31</v>
      </c>
      <c r="C584" s="21">
        <v>43503</v>
      </c>
      <c r="D584" s="16" t="s">
        <v>36</v>
      </c>
      <c r="E584" s="17">
        <f>+SUM(J577:J582)</f>
        <v>90</v>
      </c>
    </row>
    <row r="585" spans="2:18" ht="15.75" thickBot="1" x14ac:dyDescent="0.3">
      <c r="B585" s="2" t="s">
        <v>32</v>
      </c>
      <c r="C585" s="15" t="s">
        <v>33</v>
      </c>
      <c r="D585" s="16" t="s">
        <v>39</v>
      </c>
      <c r="E585" s="17">
        <f>SUM(M577:M582)</f>
        <v>0</v>
      </c>
    </row>
    <row r="586" spans="2:18" ht="15.75" thickBot="1" x14ac:dyDescent="0.3">
      <c r="B586" s="2" t="s">
        <v>35</v>
      </c>
      <c r="C586" s="15" t="s">
        <v>33</v>
      </c>
      <c r="D586" s="16" t="s">
        <v>14</v>
      </c>
      <c r="E586" s="17">
        <f>SUM(N577:N582)</f>
        <v>10.799999999999999</v>
      </c>
    </row>
    <row r="587" spans="2:18" ht="15.75" thickBot="1" x14ac:dyDescent="0.3">
      <c r="B587" s="2" t="s">
        <v>37</v>
      </c>
      <c r="C587" s="15" t="s">
        <v>259</v>
      </c>
      <c r="D587" s="16" t="s">
        <v>15</v>
      </c>
      <c r="E587" s="17">
        <f>SUM(O577:O582)</f>
        <v>100.8</v>
      </c>
    </row>
    <row r="588" spans="2:18" x14ac:dyDescent="0.25">
      <c r="B588" s="18"/>
      <c r="C588" s="18"/>
    </row>
    <row r="589" spans="2:18" x14ac:dyDescent="0.25">
      <c r="B589" s="18"/>
      <c r="C589" s="18"/>
    </row>
    <row r="590" spans="2:18" x14ac:dyDescent="0.25">
      <c r="B590" s="114" t="s">
        <v>207</v>
      </c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</row>
    <row r="591" spans="2:18" x14ac:dyDescent="0.25">
      <c r="B591" s="2" t="s">
        <v>86</v>
      </c>
      <c r="C591" s="21" t="s">
        <v>143</v>
      </c>
    </row>
    <row r="592" spans="2:18" x14ac:dyDescent="0.25">
      <c r="B592" s="2" t="s">
        <v>58</v>
      </c>
      <c r="C592" s="21" t="s">
        <v>144</v>
      </c>
    </row>
    <row r="593" spans="1:18" x14ac:dyDescent="0.25">
      <c r="B593" s="2" t="s">
        <v>60</v>
      </c>
      <c r="C593" s="21" t="s">
        <v>74</v>
      </c>
      <c r="E593" s="31" t="s">
        <v>279</v>
      </c>
    </row>
    <row r="594" spans="1:18" x14ac:dyDescent="0.25">
      <c r="B594" s="2" t="s">
        <v>61</v>
      </c>
      <c r="C594" s="27">
        <f>+E587</f>
        <v>100.8</v>
      </c>
    </row>
    <row r="597" spans="1:18" ht="26.25" x14ac:dyDescent="0.4">
      <c r="A597" s="34" t="s">
        <v>240</v>
      </c>
      <c r="B597" s="34" t="s">
        <v>142</v>
      </c>
      <c r="C597" s="1" t="s">
        <v>244</v>
      </c>
    </row>
    <row r="598" spans="1:18" x14ac:dyDescent="0.25">
      <c r="B598" s="112" t="s">
        <v>5</v>
      </c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</row>
    <row r="599" spans="1:18" x14ac:dyDescent="0.25">
      <c r="B599" s="2" t="s">
        <v>6</v>
      </c>
      <c r="C599" s="3" t="s">
        <v>235</v>
      </c>
      <c r="D599" s="4" t="s">
        <v>8</v>
      </c>
      <c r="E599" s="5" t="s">
        <v>9</v>
      </c>
      <c r="F599" s="5" t="s">
        <v>14</v>
      </c>
      <c r="G599" s="5" t="s">
        <v>10</v>
      </c>
      <c r="H599" s="5" t="s">
        <v>11</v>
      </c>
      <c r="I599" s="5" t="s">
        <v>148</v>
      </c>
      <c r="J599" s="5" t="s">
        <v>149</v>
      </c>
      <c r="K599" s="5" t="s">
        <v>12</v>
      </c>
      <c r="L599" s="5" t="s">
        <v>13</v>
      </c>
      <c r="M599" s="5" t="s">
        <v>40</v>
      </c>
      <c r="N599" s="5" t="s">
        <v>14</v>
      </c>
      <c r="O599" s="5" t="s">
        <v>15</v>
      </c>
      <c r="P599" s="5" t="s">
        <v>16</v>
      </c>
      <c r="Q599" s="5" t="s">
        <v>17</v>
      </c>
      <c r="R599" s="5" t="s">
        <v>18</v>
      </c>
    </row>
    <row r="600" spans="1:18" x14ac:dyDescent="0.25">
      <c r="B600" s="2" t="s">
        <v>19</v>
      </c>
      <c r="C600" s="33" t="s">
        <v>236</v>
      </c>
      <c r="D600" s="7">
        <v>36</v>
      </c>
      <c r="E600" t="s">
        <v>121</v>
      </c>
      <c r="F600" s="72">
        <v>0.12</v>
      </c>
      <c r="G600" t="s">
        <v>355</v>
      </c>
      <c r="H600" s="51">
        <v>2.5</v>
      </c>
      <c r="I600" s="51">
        <f>+IF(F600=0%,D600*H600,0)</f>
        <v>0</v>
      </c>
      <c r="J600" s="51">
        <f>+IF(F600=12%,D600*H600,0)</f>
        <v>90</v>
      </c>
      <c r="K600" s="52">
        <v>0</v>
      </c>
      <c r="L600" s="53">
        <v>0</v>
      </c>
      <c r="M600" s="53">
        <f>+J600*K600</f>
        <v>0</v>
      </c>
      <c r="N600" s="53">
        <f>+(J600-M600)*F600</f>
        <v>10.799999999999999</v>
      </c>
      <c r="O600" s="53">
        <f>+J600-M600+N600</f>
        <v>100.8</v>
      </c>
      <c r="P600" s="9" t="s">
        <v>237</v>
      </c>
      <c r="Q600" s="9" t="s">
        <v>238</v>
      </c>
      <c r="R600" s="7" t="s">
        <v>25</v>
      </c>
    </row>
    <row r="601" spans="1:18" x14ac:dyDescent="0.25">
      <c r="B601" s="2" t="s">
        <v>21</v>
      </c>
      <c r="C601" s="15" t="s">
        <v>22</v>
      </c>
      <c r="D601" s="7"/>
      <c r="E601" s="9"/>
      <c r="F601" s="43"/>
      <c r="G601" s="35"/>
      <c r="H601" s="51"/>
      <c r="I601" s="51"/>
      <c r="J601" s="51"/>
      <c r="K601" s="52"/>
      <c r="L601" s="53"/>
      <c r="M601" s="53"/>
      <c r="N601" s="53"/>
      <c r="O601" s="53"/>
      <c r="P601" s="7"/>
      <c r="Q601" s="9"/>
      <c r="R601" s="7"/>
    </row>
    <row r="602" spans="1:18" ht="30" x14ac:dyDescent="0.25">
      <c r="B602" s="2" t="s">
        <v>23</v>
      </c>
      <c r="C602" s="8" t="s">
        <v>24</v>
      </c>
      <c r="D602" s="7"/>
      <c r="E602" s="9"/>
      <c r="F602" s="43"/>
      <c r="G602" s="35"/>
      <c r="H602" s="51"/>
      <c r="I602" s="51"/>
      <c r="J602" s="51"/>
      <c r="K602" s="52"/>
      <c r="L602" s="53"/>
      <c r="M602" s="53"/>
      <c r="N602" s="53"/>
      <c r="O602" s="53"/>
      <c r="P602" s="7"/>
      <c r="Q602" s="9"/>
      <c r="R602" s="7"/>
    </row>
    <row r="603" spans="1:18" x14ac:dyDescent="0.25">
      <c r="B603" s="2" t="s">
        <v>26</v>
      </c>
      <c r="C603" s="12" t="s">
        <v>22</v>
      </c>
      <c r="D603" s="7"/>
      <c r="E603" s="9"/>
      <c r="F603" s="43"/>
      <c r="G603" s="35"/>
      <c r="H603" s="51"/>
      <c r="I603" s="51"/>
      <c r="J603" s="51"/>
      <c r="K603" s="52"/>
      <c r="L603" s="53"/>
      <c r="M603" s="53"/>
      <c r="N603" s="53"/>
      <c r="O603" s="53"/>
      <c r="P603" s="7"/>
      <c r="Q603" s="9"/>
      <c r="R603" s="7"/>
    </row>
    <row r="604" spans="1:18" x14ac:dyDescent="0.25">
      <c r="B604" s="2" t="s">
        <v>27</v>
      </c>
      <c r="C604" s="3" t="s">
        <v>28</v>
      </c>
      <c r="D604" s="13"/>
      <c r="E604" s="9"/>
      <c r="F604" s="9"/>
      <c r="G604" s="9"/>
      <c r="H604" s="10"/>
      <c r="I604" s="10"/>
      <c r="J604" s="10"/>
      <c r="K604" s="10"/>
      <c r="L604" s="9"/>
      <c r="M604" s="10"/>
      <c r="N604" s="10"/>
      <c r="O604" s="11"/>
      <c r="P604" s="7"/>
      <c r="Q604" s="9"/>
      <c r="R604" s="7"/>
    </row>
    <row r="605" spans="1:18" ht="15.75" thickBot="1" x14ac:dyDescent="0.3">
      <c r="B605" s="2" t="s">
        <v>29</v>
      </c>
      <c r="C605" s="3">
        <v>1</v>
      </c>
      <c r="D605" s="13"/>
      <c r="E605" s="9"/>
      <c r="F605" s="9"/>
      <c r="G605" s="9"/>
      <c r="H605" s="10"/>
      <c r="I605" s="10"/>
      <c r="J605" s="10"/>
      <c r="K605" s="10"/>
      <c r="L605" s="9"/>
      <c r="M605" s="10"/>
      <c r="N605" s="10"/>
      <c r="O605" s="11"/>
      <c r="P605" s="9"/>
      <c r="Q605" s="9"/>
      <c r="R605" s="7"/>
    </row>
    <row r="606" spans="1:18" ht="15.75" thickBot="1" x14ac:dyDescent="0.3">
      <c r="B606" s="2" t="s">
        <v>30</v>
      </c>
      <c r="C606" s="3">
        <v>1120885317</v>
      </c>
      <c r="D606" s="16" t="s">
        <v>34</v>
      </c>
      <c r="E606" s="40">
        <f>+SUM(I600:I603)</f>
        <v>0</v>
      </c>
    </row>
    <row r="607" spans="1:18" ht="15.75" thickBot="1" x14ac:dyDescent="0.3">
      <c r="B607" s="2" t="s">
        <v>31</v>
      </c>
      <c r="C607" s="21">
        <v>43503</v>
      </c>
      <c r="D607" s="16" t="s">
        <v>36</v>
      </c>
      <c r="E607" s="17">
        <f>+SUM(J600:J605)</f>
        <v>90</v>
      </c>
    </row>
    <row r="608" spans="1:18" ht="15.75" thickBot="1" x14ac:dyDescent="0.3">
      <c r="B608" s="2" t="s">
        <v>32</v>
      </c>
      <c r="C608" s="15" t="s">
        <v>33</v>
      </c>
      <c r="D608" s="16" t="s">
        <v>39</v>
      </c>
      <c r="E608" s="17">
        <f>SUM(M600:M605)</f>
        <v>0</v>
      </c>
    </row>
    <row r="609" spans="2:15" ht="15.75" thickBot="1" x14ac:dyDescent="0.3">
      <c r="B609" s="2" t="s">
        <v>35</v>
      </c>
      <c r="C609" s="15" t="s">
        <v>33</v>
      </c>
      <c r="D609" s="16" t="s">
        <v>14</v>
      </c>
      <c r="E609" s="17">
        <f>SUM(N600:N605)</f>
        <v>10.799999999999999</v>
      </c>
    </row>
    <row r="610" spans="2:15" ht="15.75" thickBot="1" x14ac:dyDescent="0.3">
      <c r="B610" s="2" t="s">
        <v>37</v>
      </c>
      <c r="C610" s="15" t="s">
        <v>260</v>
      </c>
      <c r="D610" s="16" t="s">
        <v>15</v>
      </c>
      <c r="E610" s="17">
        <f>SUM(O600:O605)</f>
        <v>100.8</v>
      </c>
    </row>
    <row r="611" spans="2:15" x14ac:dyDescent="0.25">
      <c r="B611" s="18"/>
      <c r="C611" s="18"/>
    </row>
    <row r="613" spans="2:15" x14ac:dyDescent="0.25">
      <c r="B613" s="114" t="s">
        <v>207</v>
      </c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</row>
    <row r="614" spans="2:15" x14ac:dyDescent="0.25">
      <c r="B614" s="2" t="s">
        <v>57</v>
      </c>
      <c r="C614" s="21" t="str">
        <f>+C608</f>
        <v>001</v>
      </c>
    </row>
    <row r="615" spans="2:15" x14ac:dyDescent="0.25">
      <c r="B615" s="2" t="s">
        <v>86</v>
      </c>
      <c r="C615" s="21" t="s">
        <v>143</v>
      </c>
    </row>
    <row r="616" spans="2:15" x14ac:dyDescent="0.25">
      <c r="B616" s="2" t="s">
        <v>58</v>
      </c>
      <c r="C616" s="21" t="s">
        <v>73</v>
      </c>
      <c r="E616" s="31" t="s">
        <v>279</v>
      </c>
    </row>
    <row r="617" spans="2:15" x14ac:dyDescent="0.25">
      <c r="B617" s="2" t="s">
        <v>60</v>
      </c>
      <c r="C617" s="21" t="s">
        <v>74</v>
      </c>
      <c r="D617" s="9" t="s">
        <v>154</v>
      </c>
    </row>
    <row r="618" spans="2:15" x14ac:dyDescent="0.25">
      <c r="B618" s="2" t="s">
        <v>61</v>
      </c>
      <c r="C618" s="27">
        <f>+(E610)*D618</f>
        <v>30.24</v>
      </c>
      <c r="D618" s="43">
        <v>0.3</v>
      </c>
    </row>
    <row r="619" spans="2:15" x14ac:dyDescent="0.25">
      <c r="B619" s="2" t="s">
        <v>60</v>
      </c>
      <c r="C619" s="21" t="s">
        <v>75</v>
      </c>
      <c r="D619" s="9" t="s">
        <v>154</v>
      </c>
    </row>
    <row r="620" spans="2:15" x14ac:dyDescent="0.25">
      <c r="B620" s="2" t="s">
        <v>61</v>
      </c>
      <c r="C620" s="27">
        <f>+(E610)*D620</f>
        <v>30.24</v>
      </c>
      <c r="D620" s="43">
        <v>0.3</v>
      </c>
      <c r="E620" s="28"/>
      <c r="F620" s="28"/>
      <c r="H620" s="23"/>
      <c r="I620" s="23"/>
      <c r="J620" s="24"/>
      <c r="K620" s="24"/>
      <c r="L620" s="25"/>
      <c r="M620" s="26"/>
      <c r="N620" s="22"/>
      <c r="O620" s="22"/>
    </row>
    <row r="621" spans="2:15" x14ac:dyDescent="0.25">
      <c r="B621" s="2" t="s">
        <v>58</v>
      </c>
      <c r="C621" s="21" t="s">
        <v>76</v>
      </c>
      <c r="D621" s="9"/>
    </row>
    <row r="622" spans="2:15" x14ac:dyDescent="0.25">
      <c r="B622" s="2" t="s">
        <v>60</v>
      </c>
      <c r="C622" s="21" t="s">
        <v>89</v>
      </c>
      <c r="D622" s="9" t="s">
        <v>154</v>
      </c>
    </row>
    <row r="623" spans="2:15" x14ac:dyDescent="0.25">
      <c r="B623" s="2" t="s">
        <v>61</v>
      </c>
      <c r="C623" s="27">
        <f>+(E610)*D623</f>
        <v>40.32</v>
      </c>
      <c r="D623" s="43">
        <v>0.4</v>
      </c>
    </row>
    <row r="624" spans="2:15" x14ac:dyDescent="0.25">
      <c r="C624" s="36"/>
    </row>
    <row r="625" spans="1:18" x14ac:dyDescent="0.25">
      <c r="C625" s="36"/>
    </row>
    <row r="626" spans="1:18" ht="26.25" x14ac:dyDescent="0.4">
      <c r="A626" s="34" t="s">
        <v>240</v>
      </c>
      <c r="B626" s="34" t="s">
        <v>145</v>
      </c>
      <c r="C626" s="1" t="s">
        <v>245</v>
      </c>
    </row>
    <row r="627" spans="1:18" x14ac:dyDescent="0.25">
      <c r="B627" s="112" t="s">
        <v>5</v>
      </c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</row>
    <row r="628" spans="1:18" x14ac:dyDescent="0.25">
      <c r="B628" s="2" t="s">
        <v>6</v>
      </c>
      <c r="C628" s="3" t="s">
        <v>235</v>
      </c>
      <c r="D628" s="4" t="s">
        <v>8</v>
      </c>
      <c r="E628" s="5" t="s">
        <v>9</v>
      </c>
      <c r="F628" s="5" t="s">
        <v>14</v>
      </c>
      <c r="G628" s="5" t="s">
        <v>10</v>
      </c>
      <c r="H628" s="5" t="s">
        <v>11</v>
      </c>
      <c r="I628" s="5" t="s">
        <v>148</v>
      </c>
      <c r="J628" s="5" t="s">
        <v>149</v>
      </c>
      <c r="K628" s="5" t="s">
        <v>12</v>
      </c>
      <c r="L628" s="5" t="s">
        <v>13</v>
      </c>
      <c r="M628" s="5" t="s">
        <v>40</v>
      </c>
      <c r="N628" s="5" t="s">
        <v>14</v>
      </c>
      <c r="O628" s="5" t="s">
        <v>15</v>
      </c>
      <c r="P628" s="5" t="s">
        <v>16</v>
      </c>
      <c r="Q628" s="5" t="s">
        <v>17</v>
      </c>
      <c r="R628" s="5" t="s">
        <v>18</v>
      </c>
    </row>
    <row r="629" spans="1:18" x14ac:dyDescent="0.25">
      <c r="B629" s="2" t="s">
        <v>19</v>
      </c>
      <c r="C629" s="33" t="s">
        <v>236</v>
      </c>
      <c r="D629" s="7">
        <v>36</v>
      </c>
      <c r="E629" t="s">
        <v>121</v>
      </c>
      <c r="F629" s="72">
        <v>0.12</v>
      </c>
      <c r="G629" t="s">
        <v>356</v>
      </c>
      <c r="H629" s="51">
        <v>8.9700000000000006</v>
      </c>
      <c r="I629" s="51">
        <f>+IF(F629=0%,D629*H629,0)</f>
        <v>0</v>
      </c>
      <c r="J629" s="51">
        <f>+IF(F629=12%,D629*H629,0)</f>
        <v>322.92</v>
      </c>
      <c r="K629" s="52">
        <v>0</v>
      </c>
      <c r="L629" s="53">
        <v>0</v>
      </c>
      <c r="M629" s="53">
        <f>+J629*K629</f>
        <v>0</v>
      </c>
      <c r="N629" s="53">
        <f>+(J629-M629)*F629</f>
        <v>38.750399999999999</v>
      </c>
      <c r="O629" s="53">
        <f>+J629-M629+N629</f>
        <v>361.67040000000003</v>
      </c>
      <c r="P629" s="9" t="s">
        <v>237</v>
      </c>
      <c r="Q629" s="9" t="s">
        <v>238</v>
      </c>
      <c r="R629" s="7" t="s">
        <v>25</v>
      </c>
    </row>
    <row r="630" spans="1:18" x14ac:dyDescent="0.25">
      <c r="B630" s="2" t="s">
        <v>21</v>
      </c>
      <c r="C630" s="15" t="s">
        <v>22</v>
      </c>
      <c r="D630" s="7"/>
      <c r="E630" s="9"/>
      <c r="F630" s="43"/>
      <c r="G630" s="35"/>
      <c r="H630" s="51"/>
      <c r="I630" s="51"/>
      <c r="J630" s="51"/>
      <c r="K630" s="52"/>
      <c r="L630" s="53"/>
      <c r="M630" s="53"/>
      <c r="N630" s="53"/>
      <c r="O630" s="53"/>
      <c r="P630" s="7"/>
      <c r="Q630" s="9"/>
      <c r="R630" s="7"/>
    </row>
    <row r="631" spans="1:18" ht="30" x14ac:dyDescent="0.25">
      <c r="B631" s="2" t="s">
        <v>23</v>
      </c>
      <c r="C631" s="8" t="s">
        <v>24</v>
      </c>
      <c r="D631" s="7"/>
      <c r="E631" s="9"/>
      <c r="F631" s="43"/>
      <c r="G631" s="35"/>
      <c r="H631" s="51"/>
      <c r="I631" s="51"/>
      <c r="J631" s="51"/>
      <c r="K631" s="52"/>
      <c r="L631" s="53"/>
      <c r="M631" s="53"/>
      <c r="N631" s="53"/>
      <c r="O631" s="53"/>
      <c r="P631" s="7"/>
      <c r="Q631" s="9"/>
      <c r="R631" s="7"/>
    </row>
    <row r="632" spans="1:18" x14ac:dyDescent="0.25">
      <c r="B632" s="2" t="s">
        <v>26</v>
      </c>
      <c r="C632" s="12" t="s">
        <v>22</v>
      </c>
      <c r="D632" s="7"/>
      <c r="E632" s="9"/>
      <c r="F632" s="43"/>
      <c r="G632" s="35"/>
      <c r="H632" s="51"/>
      <c r="I632" s="51"/>
      <c r="J632" s="51"/>
      <c r="K632" s="52"/>
      <c r="L632" s="53"/>
      <c r="M632" s="53"/>
      <c r="N632" s="53"/>
      <c r="O632" s="53"/>
      <c r="P632" s="7"/>
      <c r="Q632" s="9"/>
      <c r="R632" s="7"/>
    </row>
    <row r="633" spans="1:18" x14ac:dyDescent="0.25">
      <c r="B633" s="2" t="s">
        <v>27</v>
      </c>
      <c r="C633" s="3" t="s">
        <v>28</v>
      </c>
      <c r="D633" s="13"/>
      <c r="E633" s="9"/>
      <c r="F633" s="9"/>
      <c r="G633" s="9"/>
      <c r="H633" s="10"/>
      <c r="I633" s="10"/>
      <c r="J633" s="10"/>
      <c r="K633" s="10"/>
      <c r="L633" s="9"/>
      <c r="M633" s="10"/>
      <c r="N633" s="10"/>
      <c r="O633" s="11"/>
      <c r="P633" s="7"/>
      <c r="Q633" s="9"/>
      <c r="R633" s="7"/>
    </row>
    <row r="634" spans="1:18" ht="15.75" thickBot="1" x14ac:dyDescent="0.3">
      <c r="B634" s="2" t="s">
        <v>29</v>
      </c>
      <c r="C634" s="3">
        <v>1</v>
      </c>
      <c r="D634" s="13"/>
      <c r="E634" s="9"/>
      <c r="F634" s="9"/>
      <c r="G634" s="9"/>
      <c r="H634" s="10"/>
      <c r="I634" s="10"/>
      <c r="J634" s="10"/>
      <c r="K634" s="10"/>
      <c r="L634" s="9"/>
      <c r="M634" s="10"/>
      <c r="N634" s="10"/>
      <c r="O634" s="11"/>
      <c r="P634" s="9"/>
      <c r="Q634" s="9"/>
      <c r="R634" s="7"/>
    </row>
    <row r="635" spans="1:18" ht="15.75" thickBot="1" x14ac:dyDescent="0.3">
      <c r="B635" s="2" t="s">
        <v>30</v>
      </c>
      <c r="C635" s="3">
        <v>1120885317</v>
      </c>
      <c r="D635" s="16" t="s">
        <v>34</v>
      </c>
      <c r="E635" s="40">
        <f>+SUM(I629:I632)</f>
        <v>0</v>
      </c>
    </row>
    <row r="636" spans="1:18" ht="15.75" thickBot="1" x14ac:dyDescent="0.3">
      <c r="B636" s="2" t="s">
        <v>31</v>
      </c>
      <c r="C636" s="21">
        <v>43503</v>
      </c>
      <c r="D636" s="16" t="s">
        <v>36</v>
      </c>
      <c r="E636" s="17">
        <f>+SUM(J629:J634)</f>
        <v>322.92</v>
      </c>
    </row>
    <row r="637" spans="1:18" ht="15.75" thickBot="1" x14ac:dyDescent="0.3">
      <c r="B637" s="2" t="s">
        <v>32</v>
      </c>
      <c r="C637" s="15" t="s">
        <v>33</v>
      </c>
      <c r="D637" s="16" t="s">
        <v>39</v>
      </c>
      <c r="E637" s="17">
        <f>SUM(M629:M634)</f>
        <v>0</v>
      </c>
    </row>
    <row r="638" spans="1:18" ht="15.75" thickBot="1" x14ac:dyDescent="0.3">
      <c r="B638" s="2" t="s">
        <v>35</v>
      </c>
      <c r="C638" s="15" t="s">
        <v>33</v>
      </c>
      <c r="D638" s="16" t="s">
        <v>14</v>
      </c>
      <c r="E638" s="17">
        <f>SUM(N629:N634)</f>
        <v>38.750399999999999</v>
      </c>
    </row>
    <row r="639" spans="1:18" ht="15.75" thickBot="1" x14ac:dyDescent="0.3">
      <c r="B639" s="2" t="s">
        <v>37</v>
      </c>
      <c r="C639" s="15" t="s">
        <v>261</v>
      </c>
      <c r="D639" s="16" t="s">
        <v>15</v>
      </c>
      <c r="E639" s="17">
        <f>SUM(O629:O634)</f>
        <v>361.67040000000003</v>
      </c>
    </row>
    <row r="640" spans="1:18" x14ac:dyDescent="0.25">
      <c r="B640" s="18"/>
      <c r="C640" s="18"/>
    </row>
    <row r="642" spans="1:18" x14ac:dyDescent="0.25">
      <c r="B642" s="114" t="s">
        <v>207</v>
      </c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</row>
    <row r="643" spans="1:18" x14ac:dyDescent="0.25">
      <c r="B643" s="2" t="s">
        <v>86</v>
      </c>
      <c r="C643" s="21" t="s">
        <v>143</v>
      </c>
    </row>
    <row r="644" spans="1:18" x14ac:dyDescent="0.25">
      <c r="B644" s="2" t="s">
        <v>58</v>
      </c>
      <c r="C644" s="21" t="s">
        <v>73</v>
      </c>
    </row>
    <row r="645" spans="1:18" x14ac:dyDescent="0.25">
      <c r="B645" s="2" t="s">
        <v>60</v>
      </c>
      <c r="C645" s="21" t="s">
        <v>74</v>
      </c>
      <c r="D645" s="9" t="s">
        <v>154</v>
      </c>
    </row>
    <row r="646" spans="1:18" x14ac:dyDescent="0.25">
      <c r="B646" s="2" t="s">
        <v>61</v>
      </c>
      <c r="C646" s="27">
        <f>+(E639)*D646</f>
        <v>217.00224</v>
      </c>
      <c r="D646" s="43">
        <v>0.6</v>
      </c>
    </row>
    <row r="647" spans="1:18" x14ac:dyDescent="0.25">
      <c r="B647" s="2" t="s">
        <v>147</v>
      </c>
      <c r="C647" s="21" t="s">
        <v>84</v>
      </c>
      <c r="E647" s="31" t="s">
        <v>279</v>
      </c>
    </row>
    <row r="648" spans="1:18" x14ac:dyDescent="0.25">
      <c r="B648" s="2" t="s">
        <v>60</v>
      </c>
      <c r="C648" s="21" t="s">
        <v>85</v>
      </c>
      <c r="D648" s="9" t="s">
        <v>154</v>
      </c>
    </row>
    <row r="649" spans="1:18" x14ac:dyDescent="0.25">
      <c r="B649" s="2" t="s">
        <v>61</v>
      </c>
      <c r="C649" s="27">
        <f>+(E639)*D649</f>
        <v>144.66816000000003</v>
      </c>
      <c r="D649" s="43">
        <v>0.4</v>
      </c>
    </row>
    <row r="651" spans="1:18" s="71" customFormat="1" x14ac:dyDescent="0.25"/>
    <row r="652" spans="1:18" ht="26.25" x14ac:dyDescent="0.4">
      <c r="A652" s="34" t="s">
        <v>268</v>
      </c>
      <c r="B652" s="34" t="s">
        <v>92</v>
      </c>
      <c r="C652" s="1" t="s">
        <v>262</v>
      </c>
    </row>
    <row r="653" spans="1:18" x14ac:dyDescent="0.25">
      <c r="B653" s="112" t="s">
        <v>5</v>
      </c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</row>
    <row r="654" spans="1:18" x14ac:dyDescent="0.25">
      <c r="B654" s="2" t="s">
        <v>6</v>
      </c>
      <c r="C654" s="3" t="s">
        <v>7</v>
      </c>
      <c r="D654" s="4" t="s">
        <v>8</v>
      </c>
      <c r="E654" s="5" t="s">
        <v>9</v>
      </c>
      <c r="F654" s="5" t="s">
        <v>14</v>
      </c>
      <c r="G654" s="5" t="s">
        <v>10</v>
      </c>
      <c r="H654" s="5" t="s">
        <v>11</v>
      </c>
      <c r="I654" s="5" t="s">
        <v>148</v>
      </c>
      <c r="J654" s="5" t="s">
        <v>149</v>
      </c>
      <c r="K654" s="5" t="s">
        <v>12</v>
      </c>
      <c r="L654" s="5" t="s">
        <v>13</v>
      </c>
      <c r="M654" s="5" t="s">
        <v>40</v>
      </c>
      <c r="N654" s="5" t="s">
        <v>14</v>
      </c>
      <c r="O654" s="5" t="s">
        <v>15</v>
      </c>
      <c r="P654" s="5" t="s">
        <v>16</v>
      </c>
      <c r="Q654" s="5" t="s">
        <v>17</v>
      </c>
      <c r="R654" s="5" t="s">
        <v>18</v>
      </c>
    </row>
    <row r="655" spans="1:18" x14ac:dyDescent="0.25">
      <c r="B655" s="2" t="s">
        <v>19</v>
      </c>
      <c r="C655" s="6" t="s">
        <v>20</v>
      </c>
      <c r="D655" s="9">
        <v>61</v>
      </c>
      <c r="E655" s="9" t="s">
        <v>41</v>
      </c>
      <c r="F655" s="43">
        <v>0.12</v>
      </c>
      <c r="G655" s="7" t="s">
        <v>104</v>
      </c>
      <c r="H655" s="51">
        <v>1.45</v>
      </c>
      <c r="I655" s="51">
        <f>+IF(F655=0%,D655*H655,0)</f>
        <v>0</v>
      </c>
      <c r="J655" s="51">
        <f>+IF(F655=12%,D655*H655,0)</f>
        <v>88.45</v>
      </c>
      <c r="K655" s="52">
        <v>0</v>
      </c>
      <c r="L655" s="53">
        <v>0</v>
      </c>
      <c r="M655" s="53">
        <f>+J655*K655</f>
        <v>0</v>
      </c>
      <c r="N655" s="53">
        <f>+(J655-M655)*F655</f>
        <v>10.614000000000001</v>
      </c>
      <c r="O655" s="53">
        <f>+J655-M655+N655</f>
        <v>99.064000000000007</v>
      </c>
      <c r="P655" s="7" t="s">
        <v>45</v>
      </c>
      <c r="Q655" s="7" t="s">
        <v>46</v>
      </c>
      <c r="R655" s="7" t="s">
        <v>45</v>
      </c>
    </row>
    <row r="656" spans="1:18" x14ac:dyDescent="0.25">
      <c r="B656" s="2" t="s">
        <v>21</v>
      </c>
      <c r="C656" s="15" t="s">
        <v>22</v>
      </c>
      <c r="D656" s="9">
        <v>56.21</v>
      </c>
      <c r="E656" s="9" t="s">
        <v>42</v>
      </c>
      <c r="F656" s="43">
        <v>0.12</v>
      </c>
      <c r="G656" s="7" t="s">
        <v>106</v>
      </c>
      <c r="H656" s="51">
        <v>2.96</v>
      </c>
      <c r="I656" s="51">
        <f>+IF(F656=0%,D656*H656,0)</f>
        <v>0</v>
      </c>
      <c r="J656" s="51">
        <f>+IF(F656=12%,D656*H656,0)</f>
        <v>166.38159999999999</v>
      </c>
      <c r="K656" s="52">
        <v>0</v>
      </c>
      <c r="L656" s="53">
        <v>0</v>
      </c>
      <c r="M656" s="53">
        <f>+J656*K656</f>
        <v>0</v>
      </c>
      <c r="N656" s="53">
        <f>+(J656-M656)*F656</f>
        <v>19.965791999999997</v>
      </c>
      <c r="O656" s="53">
        <f>+J656-M656+N656</f>
        <v>186.34739199999999</v>
      </c>
      <c r="P656" s="7" t="s">
        <v>45</v>
      </c>
      <c r="Q656" s="9" t="s">
        <v>46</v>
      </c>
      <c r="R656" s="7" t="s">
        <v>45</v>
      </c>
    </row>
    <row r="657" spans="2:18" ht="30" x14ac:dyDescent="0.25">
      <c r="B657" s="2" t="s">
        <v>23</v>
      </c>
      <c r="C657" s="8" t="s">
        <v>70</v>
      </c>
      <c r="D657" s="13">
        <v>49</v>
      </c>
      <c r="E657" s="9" t="s">
        <v>43</v>
      </c>
      <c r="F657" s="43">
        <v>0.12</v>
      </c>
      <c r="G657" s="7" t="s">
        <v>108</v>
      </c>
      <c r="H657" s="51">
        <v>3.15</v>
      </c>
      <c r="I657" s="51">
        <f>+IF(F657=0%,D657*H657,0)</f>
        <v>0</v>
      </c>
      <c r="J657" s="51">
        <f>+IF(F657=12%,D657*H657,0)</f>
        <v>154.35</v>
      </c>
      <c r="K657" s="52">
        <v>0</v>
      </c>
      <c r="L657" s="53">
        <v>0</v>
      </c>
      <c r="M657" s="53">
        <f>+J657*K657</f>
        <v>0</v>
      </c>
      <c r="N657" s="53">
        <f>+(J657-M657)*F657</f>
        <v>18.521999999999998</v>
      </c>
      <c r="O657" s="53">
        <f>+J657-M657+N657</f>
        <v>172.87199999999999</v>
      </c>
      <c r="P657" s="7" t="s">
        <v>45</v>
      </c>
      <c r="Q657" s="9" t="s">
        <v>46</v>
      </c>
      <c r="R657" s="7" t="s">
        <v>45</v>
      </c>
    </row>
    <row r="658" spans="2:18" x14ac:dyDescent="0.25">
      <c r="B658" s="2" t="s">
        <v>26</v>
      </c>
      <c r="C658" s="12" t="s">
        <v>71</v>
      </c>
      <c r="D658" s="13">
        <v>12.2</v>
      </c>
      <c r="E658" s="9" t="s">
        <v>44</v>
      </c>
      <c r="F658" s="43">
        <v>0.12</v>
      </c>
      <c r="G658" s="7" t="s">
        <v>110</v>
      </c>
      <c r="H658" s="51">
        <v>1.25</v>
      </c>
      <c r="I658" s="51">
        <f>+IF(F658=0%,D658*H658,0)</f>
        <v>0</v>
      </c>
      <c r="J658" s="51">
        <f>+IF(F658=12%,D658*H658,0)</f>
        <v>15.25</v>
      </c>
      <c r="K658" s="52">
        <v>0</v>
      </c>
      <c r="L658" s="53">
        <v>0</v>
      </c>
      <c r="M658" s="53">
        <f>+J658*K658</f>
        <v>0</v>
      </c>
      <c r="N658" s="53">
        <f>+(J658-M658)*F658</f>
        <v>1.8299999999999998</v>
      </c>
      <c r="O658" s="53">
        <f>+J658-M658+N658</f>
        <v>17.079999999999998</v>
      </c>
      <c r="P658" s="7" t="s">
        <v>45</v>
      </c>
      <c r="Q658" s="9" t="s">
        <v>46</v>
      </c>
      <c r="R658" s="7" t="s">
        <v>45</v>
      </c>
    </row>
    <row r="659" spans="2:18" x14ac:dyDescent="0.25">
      <c r="B659" s="2" t="s">
        <v>27</v>
      </c>
      <c r="C659" s="3" t="s">
        <v>28</v>
      </c>
      <c r="D659" s="9">
        <v>1</v>
      </c>
      <c r="E659" t="s">
        <v>114</v>
      </c>
      <c r="F659" s="43">
        <v>0.12</v>
      </c>
      <c r="G659" t="s">
        <v>357</v>
      </c>
      <c r="H659" s="10">
        <v>250</v>
      </c>
      <c r="I659" s="10">
        <f>+IF(F659=0%,D659*H659,0)</f>
        <v>0</v>
      </c>
      <c r="J659" s="10">
        <f>+IF(F659=12%,D659*H659,0)</f>
        <v>250</v>
      </c>
      <c r="K659" s="52">
        <v>0</v>
      </c>
      <c r="L659" s="53">
        <v>0</v>
      </c>
      <c r="M659" s="53">
        <f>+J659*K659</f>
        <v>0</v>
      </c>
      <c r="N659" s="53">
        <f>+(J659-M659)*F659</f>
        <v>30</v>
      </c>
      <c r="O659" s="53">
        <f>+J659-M659+N659</f>
        <v>280</v>
      </c>
      <c r="P659" s="35" t="s">
        <v>275</v>
      </c>
      <c r="Q659" s="9" t="s">
        <v>274</v>
      </c>
      <c r="R659" s="7" t="s">
        <v>25</v>
      </c>
    </row>
    <row r="660" spans="2:18" x14ac:dyDescent="0.25">
      <c r="B660" s="2" t="s">
        <v>29</v>
      </c>
      <c r="C660" s="3">
        <v>1</v>
      </c>
      <c r="D660" s="9"/>
      <c r="E660" s="9"/>
      <c r="F660" s="9"/>
      <c r="G660" s="9"/>
      <c r="H660" s="10"/>
      <c r="I660" s="10"/>
      <c r="J660" s="10"/>
      <c r="K660" s="10"/>
      <c r="L660" s="9"/>
      <c r="M660" s="10"/>
      <c r="N660" s="10"/>
      <c r="O660" s="11"/>
      <c r="P660" s="9"/>
      <c r="Q660" s="9"/>
      <c r="R660" s="7"/>
    </row>
    <row r="661" spans="2:18" ht="15.75" thickBot="1" x14ac:dyDescent="0.3">
      <c r="B661" s="2" t="s">
        <v>30</v>
      </c>
      <c r="C661" s="7">
        <v>1120335551</v>
      </c>
      <c r="D661" s="39" t="s">
        <v>148</v>
      </c>
      <c r="E661" s="49">
        <f>+SUM(I655:I658)</f>
        <v>0</v>
      </c>
      <c r="G661" s="23"/>
      <c r="H661" s="41"/>
      <c r="I661" s="41"/>
      <c r="J661" s="41"/>
      <c r="K661" s="41"/>
      <c r="L661" s="23"/>
      <c r="M661" s="41"/>
      <c r="N661" s="41"/>
      <c r="O661" s="42"/>
      <c r="P661" s="23"/>
      <c r="Q661" s="23"/>
      <c r="R661" s="22"/>
    </row>
    <row r="662" spans="2:18" ht="15.75" thickBot="1" x14ac:dyDescent="0.3">
      <c r="B662" s="2" t="s">
        <v>31</v>
      </c>
      <c r="C662" s="14">
        <v>43504</v>
      </c>
      <c r="D662" s="16" t="s">
        <v>36</v>
      </c>
      <c r="E662" s="50">
        <f>+SUM(J655:J660)</f>
        <v>674.4316</v>
      </c>
      <c r="G662" s="23"/>
      <c r="H662" s="41"/>
      <c r="I662" s="41"/>
      <c r="J662" s="41"/>
      <c r="K662" s="41"/>
      <c r="L662" s="23"/>
      <c r="M662" s="41"/>
      <c r="N662" s="41"/>
      <c r="O662" s="42"/>
      <c r="P662" s="23"/>
      <c r="Q662" s="23"/>
      <c r="R662" s="22"/>
    </row>
    <row r="663" spans="2:18" ht="15.75" thickBot="1" x14ac:dyDescent="0.3">
      <c r="B663" s="2" t="s">
        <v>32</v>
      </c>
      <c r="C663" s="15" t="s">
        <v>33</v>
      </c>
      <c r="D663" s="16" t="s">
        <v>39</v>
      </c>
      <c r="E663" s="50">
        <f>SUM(M655:M660)</f>
        <v>0</v>
      </c>
    </row>
    <row r="664" spans="2:18" ht="15.75" thickBot="1" x14ac:dyDescent="0.3">
      <c r="B664" s="2" t="s">
        <v>35</v>
      </c>
      <c r="C664" s="15" t="s">
        <v>33</v>
      </c>
      <c r="D664" s="16" t="s">
        <v>14</v>
      </c>
      <c r="E664" s="50">
        <f>SUM(N655:N660)</f>
        <v>80.931792000000002</v>
      </c>
    </row>
    <row r="665" spans="2:18" ht="15.75" thickBot="1" x14ac:dyDescent="0.3">
      <c r="B665" s="2" t="s">
        <v>37</v>
      </c>
      <c r="C665" s="15" t="s">
        <v>269</v>
      </c>
      <c r="D665" s="16" t="s">
        <v>15</v>
      </c>
      <c r="E665" s="50">
        <f>SUM(O655:O660)</f>
        <v>755.36339199999998</v>
      </c>
    </row>
    <row r="666" spans="2:18" x14ac:dyDescent="0.25">
      <c r="B666" s="18"/>
      <c r="C666" s="18"/>
    </row>
    <row r="667" spans="2:18" x14ac:dyDescent="0.25">
      <c r="B667" s="18"/>
      <c r="C667" s="18"/>
    </row>
    <row r="668" spans="2:18" x14ac:dyDescent="0.25">
      <c r="B668" s="114" t="s">
        <v>47</v>
      </c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</row>
    <row r="669" spans="2:18" x14ac:dyDescent="0.25">
      <c r="B669" s="2" t="s">
        <v>48</v>
      </c>
      <c r="C669" s="15" t="s">
        <v>33</v>
      </c>
      <c r="D669" s="19" t="s">
        <v>16</v>
      </c>
      <c r="E669" s="115" t="s">
        <v>152</v>
      </c>
      <c r="F669" s="116"/>
      <c r="G669" s="47" t="s">
        <v>150</v>
      </c>
      <c r="H669" s="117" t="s">
        <v>49</v>
      </c>
      <c r="I669" s="118"/>
      <c r="J669" s="117" t="s">
        <v>151</v>
      </c>
      <c r="K669" s="118"/>
      <c r="L669" s="5" t="s">
        <v>50</v>
      </c>
      <c r="M669" s="5" t="s">
        <v>51</v>
      </c>
      <c r="N669" s="117" t="s">
        <v>155</v>
      </c>
      <c r="O669" s="118"/>
    </row>
    <row r="670" spans="2:18" x14ac:dyDescent="0.25">
      <c r="B670" s="2" t="s">
        <v>52</v>
      </c>
      <c r="C670" s="15" t="s">
        <v>33</v>
      </c>
      <c r="D670" s="9" t="s">
        <v>166</v>
      </c>
      <c r="E670" s="119" t="s">
        <v>167</v>
      </c>
      <c r="F670" s="119"/>
      <c r="G670" s="48">
        <v>731</v>
      </c>
      <c r="H670" s="120" t="s">
        <v>14</v>
      </c>
      <c r="I670" s="121"/>
      <c r="J670" s="122">
        <v>1</v>
      </c>
      <c r="K670" s="123"/>
      <c r="L670" s="54">
        <f>+E664*J670</f>
        <v>80.931792000000002</v>
      </c>
      <c r="M670" s="131">
        <f>+L670+L671</f>
        <v>87.676107999999999</v>
      </c>
      <c r="N670" s="133">
        <f>+E665-M670</f>
        <v>667.68728399999998</v>
      </c>
      <c r="O670" s="134"/>
    </row>
    <row r="671" spans="2:18" x14ac:dyDescent="0.25">
      <c r="B671" s="2" t="s">
        <v>53</v>
      </c>
      <c r="C671" s="15" t="s">
        <v>162</v>
      </c>
      <c r="D671" s="9" t="s">
        <v>165</v>
      </c>
      <c r="E671" s="119" t="s">
        <v>168</v>
      </c>
      <c r="F671" s="119"/>
      <c r="G671" s="48">
        <v>309</v>
      </c>
      <c r="H671" s="120" t="s">
        <v>153</v>
      </c>
      <c r="I671" s="121"/>
      <c r="J671" s="122">
        <v>0.01</v>
      </c>
      <c r="K671" s="123"/>
      <c r="L671" s="54">
        <f>(E662+E661-E663)*J671</f>
        <v>6.7443160000000004</v>
      </c>
      <c r="M671" s="132"/>
      <c r="N671" s="135"/>
      <c r="O671" s="136"/>
    </row>
    <row r="672" spans="2:18" x14ac:dyDescent="0.25">
      <c r="B672" s="2" t="s">
        <v>55</v>
      </c>
      <c r="C672" s="3" t="str">
        <f>+CONCATENATE(C663,"-",C664,"-",C665)</f>
        <v>001-001-120</v>
      </c>
    </row>
    <row r="673" spans="1:18" x14ac:dyDescent="0.25">
      <c r="B673" s="2" t="s">
        <v>57</v>
      </c>
      <c r="C673" s="21">
        <f>+C662</f>
        <v>43504</v>
      </c>
    </row>
    <row r="674" spans="1:18" x14ac:dyDescent="0.25">
      <c r="B674" s="2" t="s">
        <v>86</v>
      </c>
      <c r="C674" s="21" t="s">
        <v>87</v>
      </c>
      <c r="D674" s="22"/>
      <c r="E674" s="28" t="s">
        <v>279</v>
      </c>
      <c r="F674" s="23"/>
      <c r="H674" s="23"/>
      <c r="I674" s="23"/>
      <c r="J674" s="24"/>
      <c r="K674" s="24"/>
      <c r="L674" s="25"/>
      <c r="M674" s="26"/>
      <c r="N674" s="22"/>
      <c r="O674" s="22"/>
    </row>
    <row r="675" spans="1:18" x14ac:dyDescent="0.25">
      <c r="B675" s="2" t="s">
        <v>59</v>
      </c>
      <c r="C675" s="21" t="s">
        <v>84</v>
      </c>
      <c r="D675" s="22"/>
      <c r="E675" s="110" t="s">
        <v>330</v>
      </c>
      <c r="F675" s="23"/>
      <c r="H675" s="23"/>
      <c r="I675" s="23"/>
      <c r="J675" s="24"/>
      <c r="K675" s="24"/>
      <c r="L675" s="25"/>
      <c r="M675" s="26"/>
      <c r="N675" s="22"/>
      <c r="O675" s="22"/>
    </row>
    <row r="676" spans="1:18" x14ac:dyDescent="0.25">
      <c r="B676" s="2" t="s">
        <v>60</v>
      </c>
      <c r="C676" s="21" t="s">
        <v>85</v>
      </c>
      <c r="D676" s="22"/>
      <c r="E676" s="23"/>
      <c r="F676" s="23"/>
      <c r="H676" s="23"/>
      <c r="I676" s="23"/>
      <c r="J676" s="24"/>
      <c r="K676" s="24"/>
      <c r="L676" s="25"/>
      <c r="M676" s="26"/>
      <c r="N676" s="22"/>
      <c r="O676" s="22"/>
    </row>
    <row r="677" spans="1:18" x14ac:dyDescent="0.25">
      <c r="B677" s="2" t="s">
        <v>61</v>
      </c>
      <c r="C677" s="27">
        <f>+E665-M670</f>
        <v>667.68728399999998</v>
      </c>
      <c r="D677" s="22"/>
      <c r="E677" s="28"/>
      <c r="G677" s="23"/>
      <c r="H677" s="24"/>
      <c r="I677" s="24"/>
      <c r="J677" s="24"/>
      <c r="K677" s="25"/>
      <c r="L677" s="26"/>
      <c r="M677" s="22"/>
      <c r="N677" s="22"/>
    </row>
    <row r="680" spans="1:18" ht="26.25" x14ac:dyDescent="0.4">
      <c r="A680" s="34" t="s">
        <v>268</v>
      </c>
      <c r="B680" s="34" t="s">
        <v>93</v>
      </c>
      <c r="C680" s="1" t="s">
        <v>263</v>
      </c>
    </row>
    <row r="681" spans="1:18" x14ac:dyDescent="0.25">
      <c r="B681" s="112" t="s">
        <v>5</v>
      </c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</row>
    <row r="682" spans="1:18" x14ac:dyDescent="0.25">
      <c r="B682" s="2" t="s">
        <v>6</v>
      </c>
      <c r="C682" s="3" t="s">
        <v>7</v>
      </c>
      <c r="D682" s="4" t="s">
        <v>8</v>
      </c>
      <c r="E682" s="5" t="s">
        <v>9</v>
      </c>
      <c r="F682" s="5" t="s">
        <v>14</v>
      </c>
      <c r="G682" s="5" t="s">
        <v>10</v>
      </c>
      <c r="H682" s="5" t="s">
        <v>11</v>
      </c>
      <c r="I682" s="5" t="s">
        <v>148</v>
      </c>
      <c r="J682" s="5" t="s">
        <v>149</v>
      </c>
      <c r="K682" s="5" t="s">
        <v>12</v>
      </c>
      <c r="L682" s="5" t="s">
        <v>13</v>
      </c>
      <c r="M682" s="5" t="s">
        <v>40</v>
      </c>
      <c r="N682" s="5" t="s">
        <v>14</v>
      </c>
      <c r="O682" s="5" t="s">
        <v>15</v>
      </c>
      <c r="P682" s="5" t="s">
        <v>16</v>
      </c>
      <c r="Q682" s="5" t="s">
        <v>17</v>
      </c>
      <c r="R682" s="5" t="s">
        <v>18</v>
      </c>
    </row>
    <row r="683" spans="1:18" x14ac:dyDescent="0.25">
      <c r="B683" s="2" t="s">
        <v>19</v>
      </c>
      <c r="C683" s="6" t="s">
        <v>20</v>
      </c>
      <c r="D683" s="9">
        <v>61</v>
      </c>
      <c r="E683" s="9" t="s">
        <v>41</v>
      </c>
      <c r="F683" s="43">
        <v>0.12</v>
      </c>
      <c r="G683" s="7" t="s">
        <v>104</v>
      </c>
      <c r="H683" s="51">
        <v>1.45</v>
      </c>
      <c r="I683" s="51">
        <f>+IF(F683=0%,D683*H683,0)</f>
        <v>0</v>
      </c>
      <c r="J683" s="51">
        <f>+IF(F683=12%,D683*H683,0)</f>
        <v>88.45</v>
      </c>
      <c r="K683" s="52">
        <v>0</v>
      </c>
      <c r="L683" s="53">
        <v>0</v>
      </c>
      <c r="M683" s="53">
        <f>+J683*K683</f>
        <v>0</v>
      </c>
      <c r="N683" s="53">
        <f>+(J683-M683)*F683</f>
        <v>10.614000000000001</v>
      </c>
      <c r="O683" s="53">
        <f>+J683-M683+N683</f>
        <v>99.064000000000007</v>
      </c>
      <c r="P683" s="7" t="s">
        <v>45</v>
      </c>
      <c r="Q683" s="7" t="s">
        <v>46</v>
      </c>
      <c r="R683" s="7" t="s">
        <v>45</v>
      </c>
    </row>
    <row r="684" spans="1:18" x14ac:dyDescent="0.25">
      <c r="B684" s="2" t="s">
        <v>21</v>
      </c>
      <c r="C684" s="15" t="s">
        <v>22</v>
      </c>
      <c r="D684" s="9">
        <v>56.21</v>
      </c>
      <c r="E684" s="9" t="s">
        <v>42</v>
      </c>
      <c r="F684" s="43">
        <v>0.12</v>
      </c>
      <c r="G684" s="7" t="s">
        <v>106</v>
      </c>
      <c r="H684" s="51">
        <v>2.96</v>
      </c>
      <c r="I684" s="51">
        <f>+IF(F684=0%,D684*H684,0)</f>
        <v>0</v>
      </c>
      <c r="J684" s="51">
        <f>+IF(F684=12%,D684*H684,0)</f>
        <v>166.38159999999999</v>
      </c>
      <c r="K684" s="52">
        <v>0</v>
      </c>
      <c r="L684" s="53">
        <v>0</v>
      </c>
      <c r="M684" s="53">
        <f>+J684*K684</f>
        <v>0</v>
      </c>
      <c r="N684" s="53">
        <f>+(J684-M684)*F684</f>
        <v>19.965791999999997</v>
      </c>
      <c r="O684" s="53">
        <f>+J684-M684+N684</f>
        <v>186.34739199999999</v>
      </c>
      <c r="P684" s="7" t="s">
        <v>45</v>
      </c>
      <c r="Q684" s="9" t="s">
        <v>46</v>
      </c>
      <c r="R684" s="7" t="s">
        <v>45</v>
      </c>
    </row>
    <row r="685" spans="1:18" ht="30" x14ac:dyDescent="0.25">
      <c r="B685" s="2" t="s">
        <v>23</v>
      </c>
      <c r="C685" s="30" t="s">
        <v>70</v>
      </c>
      <c r="D685" s="13">
        <v>49</v>
      </c>
      <c r="E685" s="9" t="s">
        <v>43</v>
      </c>
      <c r="F685" s="43">
        <v>0.12</v>
      </c>
      <c r="G685" s="7" t="s">
        <v>108</v>
      </c>
      <c r="H685" s="51">
        <v>3.15</v>
      </c>
      <c r="I685" s="51">
        <f>+IF(F685=0%,D685*H685,0)</f>
        <v>0</v>
      </c>
      <c r="J685" s="51">
        <f>+IF(F685=12%,D685*H685,0)</f>
        <v>154.35</v>
      </c>
      <c r="K685" s="52">
        <v>0</v>
      </c>
      <c r="L685" s="53">
        <v>0</v>
      </c>
      <c r="M685" s="53">
        <f>+J685*K685</f>
        <v>0</v>
      </c>
      <c r="N685" s="53">
        <f>+(J685-M685)*F685</f>
        <v>18.521999999999998</v>
      </c>
      <c r="O685" s="53">
        <f>+J685-M685+N685</f>
        <v>172.87199999999999</v>
      </c>
      <c r="P685" s="7" t="s">
        <v>45</v>
      </c>
      <c r="Q685" s="9" t="s">
        <v>46</v>
      </c>
      <c r="R685" s="7" t="s">
        <v>45</v>
      </c>
    </row>
    <row r="686" spans="1:18" x14ac:dyDescent="0.25">
      <c r="B686" s="2" t="s">
        <v>26</v>
      </c>
      <c r="C686" s="12" t="s">
        <v>71</v>
      </c>
      <c r="D686" s="13">
        <v>12.2</v>
      </c>
      <c r="E686" s="9" t="s">
        <v>44</v>
      </c>
      <c r="F686" s="43">
        <v>0.12</v>
      </c>
      <c r="G686" s="7" t="s">
        <v>110</v>
      </c>
      <c r="H686" s="51">
        <v>1.25</v>
      </c>
      <c r="I686" s="51">
        <f>+IF(F686=0%,D686*H686,0)</f>
        <v>0</v>
      </c>
      <c r="J686" s="51">
        <f>+IF(F686=12%,D686*H686,0)</f>
        <v>15.25</v>
      </c>
      <c r="K686" s="52">
        <v>0</v>
      </c>
      <c r="L686" s="53">
        <v>0</v>
      </c>
      <c r="M686" s="53">
        <f>+J686*K686</f>
        <v>0</v>
      </c>
      <c r="N686" s="53">
        <f>+(J686-M686)*F686</f>
        <v>1.8299999999999998</v>
      </c>
      <c r="O686" s="53">
        <f>+J686-M686+N686</f>
        <v>17.079999999999998</v>
      </c>
      <c r="P686" s="7" t="s">
        <v>45</v>
      </c>
      <c r="Q686" s="9" t="s">
        <v>46</v>
      </c>
      <c r="R686" s="7" t="s">
        <v>45</v>
      </c>
    </row>
    <row r="687" spans="1:18" x14ac:dyDescent="0.25">
      <c r="B687" s="2" t="s">
        <v>27</v>
      </c>
      <c r="C687" s="3" t="s">
        <v>28</v>
      </c>
      <c r="D687" s="9">
        <v>1</v>
      </c>
      <c r="E687" t="s">
        <v>114</v>
      </c>
      <c r="F687" s="43">
        <v>0.12</v>
      </c>
      <c r="G687" t="s">
        <v>358</v>
      </c>
      <c r="H687" s="10">
        <v>250</v>
      </c>
      <c r="I687" s="10">
        <f>+IF(F687=0%,D687*H687,0)</f>
        <v>0</v>
      </c>
      <c r="J687" s="10">
        <f>+IF(F687=12%,D687*H687,0)</f>
        <v>250</v>
      </c>
      <c r="K687" s="52">
        <v>0</v>
      </c>
      <c r="L687" s="53">
        <v>0</v>
      </c>
      <c r="M687" s="53">
        <f>+J687*K687</f>
        <v>0</v>
      </c>
      <c r="N687" s="53">
        <f>+(J687-M687)*F687</f>
        <v>30</v>
      </c>
      <c r="O687" s="53">
        <f>+J687-M687+N687</f>
        <v>280</v>
      </c>
      <c r="P687" s="35" t="s">
        <v>275</v>
      </c>
      <c r="Q687" s="9" t="s">
        <v>274</v>
      </c>
      <c r="R687" s="7" t="s">
        <v>25</v>
      </c>
    </row>
    <row r="688" spans="1:18" x14ac:dyDescent="0.25">
      <c r="B688" s="2" t="s">
        <v>29</v>
      </c>
      <c r="C688" s="3">
        <v>1</v>
      </c>
      <c r="D688" s="9"/>
      <c r="E688" s="9"/>
      <c r="F688" s="9"/>
      <c r="G688" s="9"/>
      <c r="H688" s="10"/>
      <c r="I688" s="10"/>
      <c r="J688" s="10"/>
      <c r="K688" s="10"/>
      <c r="L688" s="9"/>
      <c r="M688" s="10"/>
      <c r="N688" s="10"/>
      <c r="O688" s="11"/>
      <c r="P688" s="9"/>
      <c r="Q688" s="9"/>
      <c r="R688" s="7"/>
    </row>
    <row r="689" spans="2:18" ht="15.75" thickBot="1" x14ac:dyDescent="0.3">
      <c r="B689" s="2" t="s">
        <v>30</v>
      </c>
      <c r="C689" s="37">
        <v>1120335551</v>
      </c>
      <c r="D689" s="39" t="s">
        <v>34</v>
      </c>
      <c r="E689" s="40">
        <f>+SUM(I683:I688)</f>
        <v>0</v>
      </c>
      <c r="F689" s="23"/>
      <c r="G689" s="23"/>
      <c r="H689" s="41"/>
      <c r="I689" s="41"/>
      <c r="J689" s="41"/>
      <c r="K689" s="41"/>
      <c r="L689" s="23"/>
      <c r="M689" s="41"/>
      <c r="N689" s="41"/>
      <c r="O689" s="42"/>
      <c r="P689" s="23"/>
      <c r="Q689" s="23"/>
      <c r="R689" s="22"/>
    </row>
    <row r="690" spans="2:18" ht="15.75" thickBot="1" x14ac:dyDescent="0.3">
      <c r="B690" s="2" t="s">
        <v>31</v>
      </c>
      <c r="C690" s="14">
        <v>43504</v>
      </c>
      <c r="D690" s="16" t="s">
        <v>36</v>
      </c>
      <c r="E690" s="17">
        <f>+SUM(J683:J688)</f>
        <v>674.4316</v>
      </c>
      <c r="F690" s="23"/>
      <c r="G690" s="23"/>
      <c r="H690" s="41"/>
      <c r="I690" s="41"/>
      <c r="J690" s="41"/>
      <c r="K690" s="41"/>
      <c r="L690" s="23"/>
      <c r="M690" s="41"/>
      <c r="N690" s="41"/>
      <c r="O690" s="42"/>
      <c r="P690" s="23"/>
      <c r="Q690" s="23"/>
      <c r="R690" s="22"/>
    </row>
    <row r="691" spans="2:18" ht="15.75" thickBot="1" x14ac:dyDescent="0.3">
      <c r="B691" s="2" t="s">
        <v>32</v>
      </c>
      <c r="C691" s="15" t="s">
        <v>33</v>
      </c>
      <c r="D691" s="16" t="s">
        <v>39</v>
      </c>
      <c r="E691" s="17">
        <f>SUM(M683:M688)</f>
        <v>0</v>
      </c>
      <c r="F691" s="23"/>
    </row>
    <row r="692" spans="2:18" ht="15.75" thickBot="1" x14ac:dyDescent="0.3">
      <c r="B692" s="2" t="s">
        <v>35</v>
      </c>
      <c r="C692" s="15" t="s">
        <v>33</v>
      </c>
      <c r="D692" s="16" t="s">
        <v>14</v>
      </c>
      <c r="E692" s="17">
        <f>SUM(N683:N688)</f>
        <v>80.931792000000002</v>
      </c>
      <c r="F692" s="23"/>
    </row>
    <row r="693" spans="2:18" ht="15.75" thickBot="1" x14ac:dyDescent="0.3">
      <c r="B693" s="2" t="s">
        <v>37</v>
      </c>
      <c r="C693" s="15" t="s">
        <v>270</v>
      </c>
      <c r="D693" s="16" t="s">
        <v>15</v>
      </c>
      <c r="E693" s="17">
        <f>SUM(O683:O688)</f>
        <v>755.36339199999998</v>
      </c>
      <c r="F693" s="23"/>
    </row>
    <row r="694" spans="2:18" x14ac:dyDescent="0.25">
      <c r="B694" s="18"/>
      <c r="C694" s="18"/>
    </row>
    <row r="695" spans="2:18" x14ac:dyDescent="0.25">
      <c r="B695" s="18"/>
      <c r="C695" s="18"/>
    </row>
    <row r="696" spans="2:18" x14ac:dyDescent="0.25">
      <c r="B696" s="114" t="s">
        <v>47</v>
      </c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</row>
    <row r="697" spans="2:18" x14ac:dyDescent="0.25">
      <c r="B697" s="2" t="s">
        <v>48</v>
      </c>
      <c r="C697" s="15" t="s">
        <v>33</v>
      </c>
      <c r="D697" s="19" t="s">
        <v>16</v>
      </c>
      <c r="E697" s="115" t="s">
        <v>152</v>
      </c>
      <c r="F697" s="116"/>
      <c r="G697" s="47" t="s">
        <v>150</v>
      </c>
      <c r="H697" s="117" t="s">
        <v>49</v>
      </c>
      <c r="I697" s="118"/>
      <c r="J697" s="117" t="s">
        <v>151</v>
      </c>
      <c r="K697" s="118"/>
      <c r="L697" s="5" t="s">
        <v>50</v>
      </c>
      <c r="M697" s="5" t="s">
        <v>51</v>
      </c>
      <c r="N697" s="117" t="s">
        <v>155</v>
      </c>
      <c r="O697" s="118"/>
    </row>
    <row r="698" spans="2:18" x14ac:dyDescent="0.25">
      <c r="B698" s="2" t="s">
        <v>52</v>
      </c>
      <c r="C698" s="15" t="s">
        <v>33</v>
      </c>
      <c r="D698" s="9" t="s">
        <v>169</v>
      </c>
      <c r="E698" s="119" t="s">
        <v>170</v>
      </c>
      <c r="F698" s="119"/>
      <c r="G698" s="48">
        <v>725</v>
      </c>
      <c r="H698" s="120" t="s">
        <v>14</v>
      </c>
      <c r="I698" s="121"/>
      <c r="J698" s="122">
        <v>0.3</v>
      </c>
      <c r="K698" s="123"/>
      <c r="L698" s="54">
        <f>+E692*J698</f>
        <v>24.279537600000001</v>
      </c>
      <c r="M698" s="131">
        <f>+L698+L699</f>
        <v>78.234065600000008</v>
      </c>
      <c r="N698" s="133">
        <f>+E693-M698</f>
        <v>677.12932639999997</v>
      </c>
      <c r="O698" s="134"/>
    </row>
    <row r="699" spans="2:18" x14ac:dyDescent="0.25">
      <c r="B699" s="2" t="s">
        <v>53</v>
      </c>
      <c r="C699" s="15" t="s">
        <v>54</v>
      </c>
      <c r="D699" s="9" t="s">
        <v>171</v>
      </c>
      <c r="E699" s="119" t="s">
        <v>172</v>
      </c>
      <c r="F699" s="119"/>
      <c r="G699" s="48">
        <v>320</v>
      </c>
      <c r="H699" s="120" t="s">
        <v>153</v>
      </c>
      <c r="I699" s="121"/>
      <c r="J699" s="122">
        <v>0.08</v>
      </c>
      <c r="K699" s="123"/>
      <c r="L699" s="54">
        <f>(E690+E689-E691)*J699</f>
        <v>53.954528000000003</v>
      </c>
      <c r="M699" s="132"/>
      <c r="N699" s="135"/>
      <c r="O699" s="136"/>
    </row>
    <row r="700" spans="2:18" x14ac:dyDescent="0.25">
      <c r="B700" s="2" t="s">
        <v>55</v>
      </c>
      <c r="C700" s="3" t="str">
        <f>+CONCATENATE(C691,"-",C692,"-",C693)</f>
        <v>001-001-121</v>
      </c>
    </row>
    <row r="701" spans="2:18" x14ac:dyDescent="0.25">
      <c r="B701" s="2" t="s">
        <v>57</v>
      </c>
      <c r="C701" s="21">
        <f>+C690</f>
        <v>43504</v>
      </c>
    </row>
    <row r="702" spans="2:18" x14ac:dyDescent="0.25">
      <c r="B702" s="2" t="s">
        <v>86</v>
      </c>
      <c r="C702" s="21" t="s">
        <v>87</v>
      </c>
      <c r="D702" s="22"/>
      <c r="E702" s="28" t="s">
        <v>279</v>
      </c>
      <c r="F702" s="23"/>
      <c r="G702" s="23"/>
      <c r="H702" s="23"/>
      <c r="I702" s="23"/>
      <c r="J702" s="24"/>
      <c r="K702" s="24"/>
      <c r="L702" s="25"/>
      <c r="M702" s="26"/>
      <c r="N702" s="22"/>
      <c r="O702" s="22"/>
    </row>
    <row r="703" spans="2:18" x14ac:dyDescent="0.25">
      <c r="B703" s="2" t="s">
        <v>59</v>
      </c>
      <c r="C703" s="21" t="s">
        <v>88</v>
      </c>
      <c r="D703" s="22"/>
      <c r="E703" s="110" t="s">
        <v>330</v>
      </c>
      <c r="F703" s="23"/>
      <c r="G703" s="23"/>
      <c r="H703" s="23"/>
      <c r="I703" s="23"/>
      <c r="J703" s="24"/>
      <c r="K703" s="24"/>
      <c r="L703" s="25"/>
      <c r="M703" s="26"/>
      <c r="N703" s="22"/>
      <c r="O703" s="22"/>
    </row>
    <row r="704" spans="2:18" x14ac:dyDescent="0.25">
      <c r="B704" s="2" t="s">
        <v>60</v>
      </c>
      <c r="C704" s="21" t="s">
        <v>89</v>
      </c>
      <c r="D704" s="22"/>
      <c r="E704" s="23"/>
      <c r="F704" s="23"/>
      <c r="G704" s="23"/>
      <c r="H704" s="23"/>
      <c r="I704" s="23"/>
      <c r="J704" s="24"/>
      <c r="K704" s="24"/>
      <c r="L704" s="25"/>
      <c r="M704" s="26"/>
      <c r="N704" s="22"/>
      <c r="O704" s="22"/>
    </row>
    <row r="705" spans="1:18" x14ac:dyDescent="0.25">
      <c r="B705" s="2" t="s">
        <v>61</v>
      </c>
      <c r="C705" s="27">
        <f>+E693-M698</f>
        <v>677.12932639999997</v>
      </c>
      <c r="D705" s="22"/>
      <c r="E705" s="28"/>
      <c r="G705" s="23"/>
      <c r="H705" s="23"/>
      <c r="I705" s="24"/>
      <c r="J705" s="24"/>
      <c r="K705" s="25"/>
      <c r="L705" s="26"/>
      <c r="M705" s="22"/>
      <c r="N705" s="22"/>
    </row>
    <row r="708" spans="1:18" ht="26.25" x14ac:dyDescent="0.4">
      <c r="A708" s="34" t="s">
        <v>268</v>
      </c>
      <c r="B708" s="34" t="s">
        <v>94</v>
      </c>
      <c r="C708" s="1" t="s">
        <v>264</v>
      </c>
    </row>
    <row r="709" spans="1:18" x14ac:dyDescent="0.25">
      <c r="B709" s="112" t="s">
        <v>5</v>
      </c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</row>
    <row r="710" spans="1:18" x14ac:dyDescent="0.25">
      <c r="B710" s="2" t="s">
        <v>6</v>
      </c>
      <c r="C710" s="3" t="s">
        <v>7</v>
      </c>
      <c r="D710" s="4" t="s">
        <v>8</v>
      </c>
      <c r="E710" s="5" t="s">
        <v>9</v>
      </c>
      <c r="F710" s="5" t="s">
        <v>14</v>
      </c>
      <c r="G710" s="5" t="s">
        <v>10</v>
      </c>
      <c r="H710" s="5" t="s">
        <v>11</v>
      </c>
      <c r="I710" s="5" t="s">
        <v>148</v>
      </c>
      <c r="J710" s="5" t="s">
        <v>149</v>
      </c>
      <c r="K710" s="5" t="s">
        <v>12</v>
      </c>
      <c r="L710" s="5" t="s">
        <v>13</v>
      </c>
      <c r="M710" s="5" t="s">
        <v>40</v>
      </c>
      <c r="N710" s="5" t="s">
        <v>14</v>
      </c>
      <c r="O710" s="5" t="s">
        <v>15</v>
      </c>
      <c r="P710" s="5" t="s">
        <v>16</v>
      </c>
      <c r="Q710" s="5" t="s">
        <v>17</v>
      </c>
      <c r="R710" s="5" t="s">
        <v>18</v>
      </c>
    </row>
    <row r="711" spans="1:18" x14ac:dyDescent="0.25">
      <c r="B711" s="2" t="s">
        <v>19</v>
      </c>
      <c r="C711" s="6" t="s">
        <v>20</v>
      </c>
      <c r="D711" s="9">
        <v>61</v>
      </c>
      <c r="E711" s="9" t="s">
        <v>41</v>
      </c>
      <c r="F711" s="43">
        <v>0.12</v>
      </c>
      <c r="G711" s="7" t="s">
        <v>104</v>
      </c>
      <c r="H711" s="51">
        <v>1.45</v>
      </c>
      <c r="I711" s="51">
        <f>+IF(F711=0%,D711*H711,0)</f>
        <v>0</v>
      </c>
      <c r="J711" s="51">
        <f>+IF(F711=12%,D711*H711,0)</f>
        <v>88.45</v>
      </c>
      <c r="K711" s="52">
        <v>0</v>
      </c>
      <c r="L711" s="53">
        <v>0</v>
      </c>
      <c r="M711" s="53">
        <f>+J711*K711</f>
        <v>0</v>
      </c>
      <c r="N711" s="53">
        <f>+(J711-M711)*F711</f>
        <v>10.614000000000001</v>
      </c>
      <c r="O711" s="53">
        <f>+J711-M711+N711</f>
        <v>99.064000000000007</v>
      </c>
      <c r="P711" s="7" t="s">
        <v>45</v>
      </c>
      <c r="Q711" s="7" t="s">
        <v>46</v>
      </c>
      <c r="R711" s="7" t="s">
        <v>45</v>
      </c>
    </row>
    <row r="712" spans="1:18" x14ac:dyDescent="0.25">
      <c r="B712" s="2" t="s">
        <v>21</v>
      </c>
      <c r="C712" s="15" t="s">
        <v>22</v>
      </c>
      <c r="D712" s="9">
        <v>56.21</v>
      </c>
      <c r="E712" s="9" t="s">
        <v>42</v>
      </c>
      <c r="F712" s="43">
        <v>0.12</v>
      </c>
      <c r="G712" s="7" t="s">
        <v>106</v>
      </c>
      <c r="H712" s="51">
        <v>2.96</v>
      </c>
      <c r="I712" s="51">
        <f>+IF(F712=0%,D712*H712,0)</f>
        <v>0</v>
      </c>
      <c r="J712" s="51">
        <f>+IF(F712=12%,D712*H712,0)</f>
        <v>166.38159999999999</v>
      </c>
      <c r="K712" s="52">
        <v>0</v>
      </c>
      <c r="L712" s="53">
        <v>0</v>
      </c>
      <c r="M712" s="53">
        <f>+J712*K712</f>
        <v>0</v>
      </c>
      <c r="N712" s="53">
        <f>+(J712-M712)*F712</f>
        <v>19.965791999999997</v>
      </c>
      <c r="O712" s="53">
        <f>+J712-M712+N712</f>
        <v>186.34739199999999</v>
      </c>
      <c r="P712" s="7" t="s">
        <v>45</v>
      </c>
      <c r="Q712" s="9" t="s">
        <v>46</v>
      </c>
      <c r="R712" s="7" t="s">
        <v>45</v>
      </c>
    </row>
    <row r="713" spans="1:18" ht="30" x14ac:dyDescent="0.25">
      <c r="B713" s="2" t="s">
        <v>23</v>
      </c>
      <c r="C713" s="30" t="s">
        <v>70</v>
      </c>
      <c r="D713" s="13">
        <v>49</v>
      </c>
      <c r="E713" s="9" t="s">
        <v>43</v>
      </c>
      <c r="F713" s="43">
        <v>0.12</v>
      </c>
      <c r="G713" s="7" t="s">
        <v>108</v>
      </c>
      <c r="H713" s="51">
        <v>3.15</v>
      </c>
      <c r="I713" s="51">
        <f>+IF(F713=0%,D713*H713,0)</f>
        <v>0</v>
      </c>
      <c r="J713" s="51">
        <f>+IF(F713=12%,D713*H713,0)</f>
        <v>154.35</v>
      </c>
      <c r="K713" s="52">
        <v>0</v>
      </c>
      <c r="L713" s="53">
        <v>0</v>
      </c>
      <c r="M713" s="53">
        <f>+J713*K713</f>
        <v>0</v>
      </c>
      <c r="N713" s="53">
        <f>+(J713-M713)*F713</f>
        <v>18.521999999999998</v>
      </c>
      <c r="O713" s="53">
        <f>+J713-M713+N713</f>
        <v>172.87199999999999</v>
      </c>
      <c r="P713" s="7" t="s">
        <v>45</v>
      </c>
      <c r="Q713" s="9" t="s">
        <v>46</v>
      </c>
      <c r="R713" s="7" t="s">
        <v>45</v>
      </c>
    </row>
    <row r="714" spans="1:18" x14ac:dyDescent="0.25">
      <c r="B714" s="2" t="s">
        <v>26</v>
      </c>
      <c r="C714" s="12" t="s">
        <v>71</v>
      </c>
      <c r="D714" s="13">
        <v>12.2</v>
      </c>
      <c r="E714" s="9" t="s">
        <v>44</v>
      </c>
      <c r="F714" s="43">
        <v>0.12</v>
      </c>
      <c r="G714" s="7" t="s">
        <v>110</v>
      </c>
      <c r="H714" s="51">
        <v>1.25</v>
      </c>
      <c r="I714" s="51">
        <f>+IF(F714=0%,D714*H714,0)</f>
        <v>0</v>
      </c>
      <c r="J714" s="51">
        <f>+IF(F714=12%,D714*H714,0)</f>
        <v>15.25</v>
      </c>
      <c r="K714" s="52">
        <v>0</v>
      </c>
      <c r="L714" s="53">
        <v>0</v>
      </c>
      <c r="M714" s="53">
        <f>+J714*K714</f>
        <v>0</v>
      </c>
      <c r="N714" s="53">
        <f>+(J714-M714)*F714</f>
        <v>1.8299999999999998</v>
      </c>
      <c r="O714" s="53">
        <f>+J714-M714+N714</f>
        <v>17.079999999999998</v>
      </c>
      <c r="P714" s="7" t="s">
        <v>45</v>
      </c>
      <c r="Q714" s="9" t="s">
        <v>46</v>
      </c>
      <c r="R714" s="7" t="s">
        <v>45</v>
      </c>
    </row>
    <row r="715" spans="1:18" x14ac:dyDescent="0.25">
      <c r="B715" s="2" t="s">
        <v>27</v>
      </c>
      <c r="C715" s="3" t="s">
        <v>28</v>
      </c>
      <c r="D715" s="9">
        <v>1</v>
      </c>
      <c r="E715" t="s">
        <v>114</v>
      </c>
      <c r="F715" s="43">
        <v>0.12</v>
      </c>
      <c r="G715" t="s">
        <v>359</v>
      </c>
      <c r="H715" s="10">
        <v>250</v>
      </c>
      <c r="I715" s="10">
        <f>+IF(F715=0%,D715*H715,0)</f>
        <v>0</v>
      </c>
      <c r="J715" s="10">
        <f>+IF(F715=12%,D715*H715,0)</f>
        <v>250</v>
      </c>
      <c r="K715" s="52">
        <v>0</v>
      </c>
      <c r="L715" s="53">
        <v>0</v>
      </c>
      <c r="M715" s="53">
        <f>+J715*K715</f>
        <v>0</v>
      </c>
      <c r="N715" s="53">
        <f>+(J715-M715)*F715</f>
        <v>30</v>
      </c>
      <c r="O715" s="53">
        <f>+J715-M715+N715</f>
        <v>280</v>
      </c>
      <c r="P715" s="35" t="s">
        <v>275</v>
      </c>
      <c r="Q715" s="9" t="s">
        <v>274</v>
      </c>
      <c r="R715" s="7" t="s">
        <v>25</v>
      </c>
    </row>
    <row r="716" spans="1:18" ht="15.75" thickBot="1" x14ac:dyDescent="0.3">
      <c r="B716" s="2" t="s">
        <v>29</v>
      </c>
      <c r="C716" s="3">
        <v>1</v>
      </c>
      <c r="D716" s="13"/>
      <c r="E716" s="9"/>
      <c r="F716" s="9"/>
      <c r="G716" s="9"/>
      <c r="H716" s="10"/>
      <c r="I716" s="10"/>
      <c r="J716" s="10"/>
      <c r="K716" s="10"/>
      <c r="L716" s="9"/>
      <c r="M716" s="10"/>
      <c r="N716" s="10"/>
      <c r="O716" s="11"/>
      <c r="P716" s="9"/>
      <c r="Q716" s="9"/>
      <c r="R716" s="7"/>
    </row>
    <row r="717" spans="1:18" ht="15.75" thickBot="1" x14ac:dyDescent="0.3">
      <c r="B717" s="2" t="s">
        <v>30</v>
      </c>
      <c r="C717" s="7">
        <v>1120335551</v>
      </c>
      <c r="D717" s="16" t="s">
        <v>34</v>
      </c>
      <c r="E717" s="40">
        <f>+SUM(I711:I714)</f>
        <v>0</v>
      </c>
    </row>
    <row r="718" spans="1:18" ht="15.75" thickBot="1" x14ac:dyDescent="0.3">
      <c r="B718" s="2" t="s">
        <v>31</v>
      </c>
      <c r="C718" s="14">
        <v>43504</v>
      </c>
      <c r="D718" s="16" t="s">
        <v>36</v>
      </c>
      <c r="E718" s="17">
        <f>+SUM(J711:J716)</f>
        <v>674.4316</v>
      </c>
    </row>
    <row r="719" spans="1:18" ht="15.75" thickBot="1" x14ac:dyDescent="0.3">
      <c r="B719" s="2" t="s">
        <v>32</v>
      </c>
      <c r="C719" s="15" t="s">
        <v>33</v>
      </c>
      <c r="D719" s="16" t="s">
        <v>39</v>
      </c>
      <c r="E719" s="17">
        <f>SUM(M711:M716)</f>
        <v>0</v>
      </c>
    </row>
    <row r="720" spans="1:18" ht="15.75" thickBot="1" x14ac:dyDescent="0.3">
      <c r="B720" s="2" t="s">
        <v>35</v>
      </c>
      <c r="C720" s="15" t="s">
        <v>33</v>
      </c>
      <c r="D720" s="16" t="s">
        <v>14</v>
      </c>
      <c r="E720" s="17">
        <f>SUM(N711:N716)</f>
        <v>80.931792000000002</v>
      </c>
    </row>
    <row r="721" spans="1:15" ht="15.75" thickBot="1" x14ac:dyDescent="0.3">
      <c r="B721" s="2" t="s">
        <v>37</v>
      </c>
      <c r="C721" s="15" t="s">
        <v>271</v>
      </c>
      <c r="D721" s="16" t="s">
        <v>15</v>
      </c>
      <c r="E721" s="17">
        <f>SUM(O711:O716)</f>
        <v>755.36339199999998</v>
      </c>
    </row>
    <row r="722" spans="1:15" x14ac:dyDescent="0.25">
      <c r="B722" s="18"/>
      <c r="C722" s="18"/>
    </row>
    <row r="724" spans="1:15" x14ac:dyDescent="0.25">
      <c r="B724" s="114" t="s">
        <v>47</v>
      </c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</row>
    <row r="725" spans="1:15" x14ac:dyDescent="0.25">
      <c r="B725" s="2" t="s">
        <v>48</v>
      </c>
      <c r="C725" s="15" t="s">
        <v>33</v>
      </c>
      <c r="D725" s="19" t="s">
        <v>16</v>
      </c>
      <c r="E725" s="115" t="s">
        <v>152</v>
      </c>
      <c r="F725" s="116"/>
      <c r="G725" s="47" t="s">
        <v>150</v>
      </c>
      <c r="H725" s="117" t="s">
        <v>49</v>
      </c>
      <c r="I725" s="118"/>
      <c r="J725" s="117" t="s">
        <v>151</v>
      </c>
      <c r="K725" s="118"/>
      <c r="L725" s="5" t="s">
        <v>50</v>
      </c>
      <c r="M725" s="5" t="s">
        <v>51</v>
      </c>
      <c r="N725" s="117" t="s">
        <v>155</v>
      </c>
      <c r="O725" s="118"/>
    </row>
    <row r="726" spans="1:15" x14ac:dyDescent="0.25">
      <c r="B726" s="2" t="s">
        <v>52</v>
      </c>
      <c r="C726" s="15" t="s">
        <v>33</v>
      </c>
      <c r="D726" s="9" t="s">
        <v>179</v>
      </c>
      <c r="E726" s="119" t="s">
        <v>180</v>
      </c>
      <c r="F726" s="119"/>
      <c r="G726" s="48">
        <v>727</v>
      </c>
      <c r="H726" s="120" t="s">
        <v>14</v>
      </c>
      <c r="I726" s="121"/>
      <c r="J726" s="122">
        <v>0.5</v>
      </c>
      <c r="K726" s="123"/>
      <c r="L726" s="20">
        <f>+E720*J726</f>
        <v>40.465896000000001</v>
      </c>
      <c r="M726" s="124">
        <f>+L726+L727</f>
        <v>53.954528000000003</v>
      </c>
      <c r="N726" s="126">
        <f>+E721-M726</f>
        <v>701.40886399999999</v>
      </c>
      <c r="O726" s="127"/>
    </row>
    <row r="727" spans="1:15" x14ac:dyDescent="0.25">
      <c r="B727" s="2" t="s">
        <v>53</v>
      </c>
      <c r="C727" s="15" t="s">
        <v>163</v>
      </c>
      <c r="D727" s="9" t="s">
        <v>175</v>
      </c>
      <c r="E727" s="119" t="s">
        <v>176</v>
      </c>
      <c r="F727" s="119"/>
      <c r="G727" s="48">
        <v>344</v>
      </c>
      <c r="H727" s="120" t="s">
        <v>153</v>
      </c>
      <c r="I727" s="121"/>
      <c r="J727" s="122">
        <v>0.02</v>
      </c>
      <c r="K727" s="123"/>
      <c r="L727" s="20">
        <f>(E718+E717-E719)*J727</f>
        <v>13.488632000000001</v>
      </c>
      <c r="M727" s="125"/>
      <c r="N727" s="128"/>
      <c r="O727" s="129"/>
    </row>
    <row r="728" spans="1:15" x14ac:dyDescent="0.25">
      <c r="B728" s="2" t="s">
        <v>55</v>
      </c>
      <c r="C728" s="3" t="str">
        <f>+CONCATENATE(C719,"-",C720,"-",C721)</f>
        <v>001-001-122</v>
      </c>
    </row>
    <row r="729" spans="1:15" x14ac:dyDescent="0.25">
      <c r="B729" s="2" t="s">
        <v>57</v>
      </c>
      <c r="C729" s="21">
        <f>+C718</f>
        <v>43504</v>
      </c>
    </row>
    <row r="730" spans="1:15" x14ac:dyDescent="0.25">
      <c r="B730" s="2" t="s">
        <v>86</v>
      </c>
      <c r="C730" s="21" t="s">
        <v>87</v>
      </c>
      <c r="E730" s="31" t="s">
        <v>279</v>
      </c>
    </row>
    <row r="731" spans="1:15" x14ac:dyDescent="0.25">
      <c r="B731" s="2" t="s">
        <v>59</v>
      </c>
      <c r="C731" s="21" t="s">
        <v>90</v>
      </c>
      <c r="E731" s="110" t="s">
        <v>330</v>
      </c>
    </row>
    <row r="732" spans="1:15" x14ac:dyDescent="0.25">
      <c r="B732" s="2" t="s">
        <v>60</v>
      </c>
      <c r="C732" s="21" t="s">
        <v>91</v>
      </c>
    </row>
    <row r="733" spans="1:15" x14ac:dyDescent="0.25">
      <c r="B733" s="2" t="s">
        <v>61</v>
      </c>
      <c r="C733" s="27">
        <f>+E721-M726</f>
        <v>701.40886399999999</v>
      </c>
    </row>
    <row r="736" spans="1:15" ht="26.25" x14ac:dyDescent="0.4">
      <c r="A736" s="34" t="s">
        <v>268</v>
      </c>
      <c r="B736" s="34" t="s">
        <v>140</v>
      </c>
      <c r="C736" s="1" t="s">
        <v>265</v>
      </c>
    </row>
    <row r="737" spans="2:18" x14ac:dyDescent="0.25">
      <c r="B737" s="112" t="s">
        <v>5</v>
      </c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</row>
    <row r="738" spans="2:18" x14ac:dyDescent="0.25">
      <c r="B738" s="2" t="s">
        <v>6</v>
      </c>
      <c r="C738" s="3" t="s">
        <v>67</v>
      </c>
      <c r="D738" s="4" t="s">
        <v>8</v>
      </c>
      <c r="E738" s="5" t="s">
        <v>9</v>
      </c>
      <c r="F738" s="5" t="s">
        <v>14</v>
      </c>
      <c r="G738" s="5" t="s">
        <v>10</v>
      </c>
      <c r="H738" s="5" t="s">
        <v>11</v>
      </c>
      <c r="I738" s="5" t="s">
        <v>148</v>
      </c>
      <c r="J738" s="5" t="s">
        <v>149</v>
      </c>
      <c r="K738" s="5" t="s">
        <v>12</v>
      </c>
      <c r="L738" s="5" t="s">
        <v>13</v>
      </c>
      <c r="M738" s="5" t="s">
        <v>40</v>
      </c>
      <c r="N738" s="5" t="s">
        <v>14</v>
      </c>
      <c r="O738" s="5" t="s">
        <v>15</v>
      </c>
      <c r="P738" s="5" t="s">
        <v>16</v>
      </c>
      <c r="Q738" s="5" t="s">
        <v>17</v>
      </c>
      <c r="R738" s="5" t="s">
        <v>18</v>
      </c>
    </row>
    <row r="739" spans="2:18" x14ac:dyDescent="0.25">
      <c r="B739" s="2" t="s">
        <v>19</v>
      </c>
      <c r="C739" s="15" t="s">
        <v>68</v>
      </c>
      <c r="D739" s="7">
        <v>118.47</v>
      </c>
      <c r="E739" s="9" t="s">
        <v>95</v>
      </c>
      <c r="F739" s="43">
        <v>0.12</v>
      </c>
      <c r="G739" s="35" t="s">
        <v>99</v>
      </c>
      <c r="H739" s="51">
        <v>1.47</v>
      </c>
      <c r="I739" s="51">
        <f>+IF(F739=0%,D739*H739,0)</f>
        <v>0</v>
      </c>
      <c r="J739" s="51">
        <f>+IF(F739=12%,D739*H739,0)</f>
        <v>174.15090000000001</v>
      </c>
      <c r="K739" s="52">
        <v>0</v>
      </c>
      <c r="L739" s="53">
        <v>0</v>
      </c>
      <c r="M739" s="53">
        <f>+J739*K739</f>
        <v>0</v>
      </c>
      <c r="N739" s="53">
        <f>+(J739-M739)*F739</f>
        <v>20.898108000000001</v>
      </c>
      <c r="O739" s="53">
        <f>+J739-M739+N739</f>
        <v>195.04900800000001</v>
      </c>
      <c r="P739" s="7" t="s">
        <v>45</v>
      </c>
      <c r="Q739" s="7" t="s">
        <v>46</v>
      </c>
      <c r="R739" s="7" t="s">
        <v>45</v>
      </c>
    </row>
    <row r="740" spans="2:18" x14ac:dyDescent="0.25">
      <c r="B740" s="2" t="s">
        <v>21</v>
      </c>
      <c r="C740" s="15" t="s">
        <v>22</v>
      </c>
      <c r="D740" s="7">
        <v>249.58</v>
      </c>
      <c r="E740" s="9" t="s">
        <v>96</v>
      </c>
      <c r="F740" s="43">
        <v>0.12</v>
      </c>
      <c r="G740" s="35" t="s">
        <v>100</v>
      </c>
      <c r="H740" s="51">
        <v>2.96</v>
      </c>
      <c r="I740" s="51">
        <f>+IF(F740=0%,D740*H740,0)</f>
        <v>0</v>
      </c>
      <c r="J740" s="51">
        <f>+IF(F740=12%,D740*H740,0)</f>
        <v>738.7568</v>
      </c>
      <c r="K740" s="52">
        <v>0</v>
      </c>
      <c r="L740" s="53">
        <v>0</v>
      </c>
      <c r="M740" s="53">
        <f>+J740*K740</f>
        <v>0</v>
      </c>
      <c r="N740" s="53">
        <f>+(J740-M740)*F740</f>
        <v>88.650815999999992</v>
      </c>
      <c r="O740" s="53">
        <f>+J740-M740+N740</f>
        <v>827.40761599999996</v>
      </c>
      <c r="P740" s="7" t="s">
        <v>45</v>
      </c>
      <c r="Q740" s="9" t="s">
        <v>46</v>
      </c>
      <c r="R740" s="7" t="s">
        <v>45</v>
      </c>
    </row>
    <row r="741" spans="2:18" ht="30" x14ac:dyDescent="0.25">
      <c r="B741" s="2" t="s">
        <v>23</v>
      </c>
      <c r="C741" s="30" t="s">
        <v>70</v>
      </c>
      <c r="D741" s="7">
        <v>73.540000000000006</v>
      </c>
      <c r="E741" s="9" t="s">
        <v>97</v>
      </c>
      <c r="F741" s="43">
        <v>0.12</v>
      </c>
      <c r="G741" s="35" t="s">
        <v>101</v>
      </c>
      <c r="H741" s="51">
        <v>3.15</v>
      </c>
      <c r="I741" s="51">
        <f>+IF(F741=0%,D741*H741,0)</f>
        <v>0</v>
      </c>
      <c r="J741" s="51">
        <f>+IF(F741=12%,D741*H741,0)</f>
        <v>231.65100000000001</v>
      </c>
      <c r="K741" s="52">
        <v>0</v>
      </c>
      <c r="L741" s="53">
        <v>0</v>
      </c>
      <c r="M741" s="53">
        <f>+J741*K741</f>
        <v>0</v>
      </c>
      <c r="N741" s="53">
        <f>+(J741-M741)*F741</f>
        <v>27.798120000000001</v>
      </c>
      <c r="O741" s="53">
        <f>+J741-M741+N741</f>
        <v>259.44911999999999</v>
      </c>
      <c r="P741" s="7" t="s">
        <v>45</v>
      </c>
      <c r="Q741" s="9" t="s">
        <v>46</v>
      </c>
      <c r="R741" s="7" t="s">
        <v>45</v>
      </c>
    </row>
    <row r="742" spans="2:18" x14ac:dyDescent="0.25">
      <c r="B742" s="2" t="s">
        <v>26</v>
      </c>
      <c r="C742" s="12" t="s">
        <v>71</v>
      </c>
      <c r="D742" s="7">
        <v>29</v>
      </c>
      <c r="E742" s="9" t="s">
        <v>98</v>
      </c>
      <c r="F742" s="43">
        <v>0.12</v>
      </c>
      <c r="G742" s="35" t="s">
        <v>102</v>
      </c>
      <c r="H742" s="51">
        <v>1.25</v>
      </c>
      <c r="I742" s="51">
        <f>+IF(F742=0%,D742*H742,0)</f>
        <v>0</v>
      </c>
      <c r="J742" s="51">
        <f>+IF(F742=12%,D742*H742,0)</f>
        <v>36.25</v>
      </c>
      <c r="K742" s="52">
        <v>0</v>
      </c>
      <c r="L742" s="53">
        <v>0</v>
      </c>
      <c r="M742" s="53">
        <f>+J742*K742</f>
        <v>0</v>
      </c>
      <c r="N742" s="53">
        <f>+(J742-M742)*F742</f>
        <v>4.3499999999999996</v>
      </c>
      <c r="O742" s="53">
        <f>+J742-M742+N742</f>
        <v>40.6</v>
      </c>
      <c r="P742" s="7" t="s">
        <v>45</v>
      </c>
      <c r="Q742" s="9" t="s">
        <v>46</v>
      </c>
      <c r="R742" s="7" t="s">
        <v>45</v>
      </c>
    </row>
    <row r="743" spans="2:18" x14ac:dyDescent="0.25">
      <c r="B743" s="2" t="s">
        <v>27</v>
      </c>
      <c r="C743" s="3" t="s">
        <v>28</v>
      </c>
      <c r="D743" s="13">
        <v>1</v>
      </c>
      <c r="E743" t="s">
        <v>127</v>
      </c>
      <c r="F743" s="43">
        <v>0.12</v>
      </c>
      <c r="G743" t="s">
        <v>360</v>
      </c>
      <c r="H743" s="51">
        <v>380</v>
      </c>
      <c r="I743" s="51">
        <f>+IF(F743=0%,D743*H743,0)</f>
        <v>0</v>
      </c>
      <c r="J743" s="51">
        <f>+IF(F743=12%,D743*H743,0)</f>
        <v>380</v>
      </c>
      <c r="K743" s="52">
        <v>0</v>
      </c>
      <c r="L743" s="53">
        <v>0</v>
      </c>
      <c r="M743" s="53">
        <f>+J743*K743</f>
        <v>0</v>
      </c>
      <c r="N743" s="53">
        <f>+(J743-M743)*F743</f>
        <v>45.6</v>
      </c>
      <c r="O743" s="53">
        <f>+J743-M743+N743</f>
        <v>425.6</v>
      </c>
      <c r="P743" s="7" t="s">
        <v>276</v>
      </c>
      <c r="Q743" s="7" t="s">
        <v>277</v>
      </c>
      <c r="R743" s="7" t="s">
        <v>25</v>
      </c>
    </row>
    <row r="744" spans="2:18" ht="15.75" thickBot="1" x14ac:dyDescent="0.3">
      <c r="B744" s="2" t="s">
        <v>29</v>
      </c>
      <c r="C744" s="3">
        <v>1</v>
      </c>
      <c r="D744" s="13"/>
      <c r="E744" s="9"/>
      <c r="F744" s="9"/>
      <c r="G744" s="9"/>
      <c r="H744" s="10"/>
      <c r="I744" s="10"/>
      <c r="J744" s="10"/>
      <c r="K744" s="10"/>
      <c r="L744" s="9"/>
      <c r="M744" s="10"/>
      <c r="N744" s="10"/>
      <c r="O744" s="11"/>
      <c r="P744" s="9"/>
      <c r="Q744" s="9"/>
      <c r="R744" s="7"/>
    </row>
    <row r="745" spans="2:18" ht="15.75" thickBot="1" x14ac:dyDescent="0.3">
      <c r="B745" s="2" t="s">
        <v>30</v>
      </c>
      <c r="C745" s="7">
        <v>1122728319</v>
      </c>
      <c r="D745" s="16" t="s">
        <v>34</v>
      </c>
      <c r="E745" s="40">
        <f>+SUM(I739:I742)</f>
        <v>0</v>
      </c>
    </row>
    <row r="746" spans="2:18" ht="15.75" thickBot="1" x14ac:dyDescent="0.3">
      <c r="B746" s="2" t="s">
        <v>31</v>
      </c>
      <c r="C746" s="14">
        <v>43505</v>
      </c>
      <c r="D746" s="16" t="s">
        <v>36</v>
      </c>
      <c r="E746" s="17">
        <f>+SUM(J739:J744)</f>
        <v>1560.8087</v>
      </c>
    </row>
    <row r="747" spans="2:18" ht="15.75" thickBot="1" x14ac:dyDescent="0.3">
      <c r="B747" s="2" t="s">
        <v>32</v>
      </c>
      <c r="C747" s="15" t="s">
        <v>33</v>
      </c>
      <c r="D747" s="16" t="s">
        <v>39</v>
      </c>
      <c r="E747" s="17">
        <f>SUM(M739:M744)</f>
        <v>0</v>
      </c>
    </row>
    <row r="748" spans="2:18" ht="15.75" thickBot="1" x14ac:dyDescent="0.3">
      <c r="B748" s="2" t="s">
        <v>35</v>
      </c>
      <c r="C748" s="15" t="s">
        <v>33</v>
      </c>
      <c r="D748" s="16" t="s">
        <v>14</v>
      </c>
      <c r="E748" s="17">
        <f>SUM(N739:N744)</f>
        <v>187.297044</v>
      </c>
    </row>
    <row r="749" spans="2:18" ht="15.75" thickBot="1" x14ac:dyDescent="0.3">
      <c r="B749" s="2" t="s">
        <v>37</v>
      </c>
      <c r="C749" s="15" t="s">
        <v>38</v>
      </c>
      <c r="D749" s="16" t="s">
        <v>15</v>
      </c>
      <c r="E749" s="17">
        <f>SUM(O739:O744)</f>
        <v>1748.105744</v>
      </c>
    </row>
    <row r="750" spans="2:18" x14ac:dyDescent="0.25">
      <c r="B750" s="18"/>
      <c r="C750" s="18"/>
    </row>
    <row r="751" spans="2:18" x14ac:dyDescent="0.25">
      <c r="B751" s="18"/>
      <c r="C751" s="18"/>
    </row>
    <row r="752" spans="2:18" x14ac:dyDescent="0.25">
      <c r="B752" s="114" t="s">
        <v>47</v>
      </c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</row>
    <row r="753" spans="1:18" x14ac:dyDescent="0.25">
      <c r="B753" s="2" t="s">
        <v>48</v>
      </c>
      <c r="C753" s="33" t="s">
        <v>33</v>
      </c>
      <c r="D753" s="19" t="s">
        <v>16</v>
      </c>
      <c r="E753" s="115" t="s">
        <v>152</v>
      </c>
      <c r="F753" s="116"/>
      <c r="G753" s="47" t="s">
        <v>150</v>
      </c>
      <c r="H753" s="117" t="s">
        <v>49</v>
      </c>
      <c r="I753" s="118"/>
      <c r="J753" s="117" t="s">
        <v>151</v>
      </c>
      <c r="K753" s="118"/>
      <c r="L753" s="5" t="s">
        <v>50</v>
      </c>
      <c r="M753" s="5" t="s">
        <v>51</v>
      </c>
      <c r="N753" s="117" t="s">
        <v>155</v>
      </c>
      <c r="O753" s="118"/>
    </row>
    <row r="754" spans="1:18" x14ac:dyDescent="0.25">
      <c r="B754" s="2" t="s">
        <v>52</v>
      </c>
      <c r="C754" s="15" t="s">
        <v>33</v>
      </c>
      <c r="D754" s="9" t="s">
        <v>173</v>
      </c>
      <c r="E754" s="119" t="s">
        <v>174</v>
      </c>
      <c r="F754" s="119"/>
      <c r="G754" s="48">
        <v>729</v>
      </c>
      <c r="H754" s="120" t="s">
        <v>14</v>
      </c>
      <c r="I754" s="121"/>
      <c r="J754" s="122">
        <v>0.7</v>
      </c>
      <c r="K754" s="123"/>
      <c r="L754" s="20">
        <f>+E748*J754</f>
        <v>131.10793079999999</v>
      </c>
      <c r="M754" s="124">
        <f>+L754+L755</f>
        <v>146.7160178</v>
      </c>
      <c r="N754" s="126">
        <f>+E749-M754</f>
        <v>1601.3897262</v>
      </c>
      <c r="O754" s="127"/>
    </row>
    <row r="755" spans="1:18" x14ac:dyDescent="0.25">
      <c r="B755" s="2" t="s">
        <v>53</v>
      </c>
      <c r="C755" s="7">
        <v>504</v>
      </c>
      <c r="D755" s="9" t="s">
        <v>165</v>
      </c>
      <c r="E755" s="119" t="s">
        <v>168</v>
      </c>
      <c r="F755" s="119"/>
      <c r="G755" s="48">
        <v>312</v>
      </c>
      <c r="H755" s="120" t="s">
        <v>153</v>
      </c>
      <c r="I755" s="121"/>
      <c r="J755" s="122">
        <v>0.01</v>
      </c>
      <c r="K755" s="123"/>
      <c r="L755" s="20">
        <f>(E746+E745-E747)*J755</f>
        <v>15.608087000000001</v>
      </c>
      <c r="M755" s="125"/>
      <c r="N755" s="128"/>
      <c r="O755" s="129"/>
    </row>
    <row r="756" spans="1:18" x14ac:dyDescent="0.25">
      <c r="B756" s="2" t="s">
        <v>55</v>
      </c>
      <c r="C756" s="3" t="str">
        <f>+CONCATENATE(C747,"-",C748,"-",C749)</f>
        <v>001-001-123</v>
      </c>
    </row>
    <row r="757" spans="1:18" x14ac:dyDescent="0.25">
      <c r="B757" s="2" t="s">
        <v>57</v>
      </c>
      <c r="C757" s="21" t="str">
        <f>+C748</f>
        <v>001</v>
      </c>
    </row>
    <row r="758" spans="1:18" x14ac:dyDescent="0.25">
      <c r="B758" s="2" t="s">
        <v>86</v>
      </c>
      <c r="C758" s="21" t="s">
        <v>143</v>
      </c>
    </row>
    <row r="759" spans="1:18" x14ac:dyDescent="0.25">
      <c r="B759" s="2" t="s">
        <v>58</v>
      </c>
      <c r="C759" s="21" t="s">
        <v>144</v>
      </c>
      <c r="E759" s="31" t="s">
        <v>279</v>
      </c>
    </row>
    <row r="760" spans="1:18" x14ac:dyDescent="0.25">
      <c r="B760" s="2" t="s">
        <v>60</v>
      </c>
      <c r="C760" s="21" t="s">
        <v>74</v>
      </c>
      <c r="E760" s="110" t="s">
        <v>330</v>
      </c>
    </row>
    <row r="761" spans="1:18" x14ac:dyDescent="0.25">
      <c r="B761" s="2" t="s">
        <v>61</v>
      </c>
      <c r="C761" s="27">
        <f>+E749-M754</f>
        <v>1601.3897262</v>
      </c>
    </row>
    <row r="764" spans="1:18" ht="26.25" x14ac:dyDescent="0.4">
      <c r="A764" s="34" t="s">
        <v>268</v>
      </c>
      <c r="B764" s="34" t="s">
        <v>142</v>
      </c>
      <c r="C764" s="1" t="s">
        <v>266</v>
      </c>
    </row>
    <row r="765" spans="1:18" x14ac:dyDescent="0.25">
      <c r="B765" s="112" t="s">
        <v>5</v>
      </c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</row>
    <row r="766" spans="1:18" x14ac:dyDescent="0.25">
      <c r="B766" s="2" t="s">
        <v>6</v>
      </c>
      <c r="C766" s="3" t="s">
        <v>67</v>
      </c>
      <c r="D766" s="4" t="s">
        <v>8</v>
      </c>
      <c r="E766" s="5" t="s">
        <v>9</v>
      </c>
      <c r="F766" s="5" t="s">
        <v>14</v>
      </c>
      <c r="G766" s="5" t="s">
        <v>10</v>
      </c>
      <c r="H766" s="5" t="s">
        <v>11</v>
      </c>
      <c r="I766" s="5" t="s">
        <v>148</v>
      </c>
      <c r="J766" s="5" t="s">
        <v>149</v>
      </c>
      <c r="K766" s="5" t="s">
        <v>12</v>
      </c>
      <c r="L766" s="5" t="s">
        <v>13</v>
      </c>
      <c r="M766" s="5" t="s">
        <v>40</v>
      </c>
      <c r="N766" s="5" t="s">
        <v>14</v>
      </c>
      <c r="O766" s="5" t="s">
        <v>15</v>
      </c>
      <c r="P766" s="5" t="s">
        <v>16</v>
      </c>
      <c r="Q766" s="5" t="s">
        <v>17</v>
      </c>
      <c r="R766" s="5" t="s">
        <v>18</v>
      </c>
    </row>
    <row r="767" spans="1:18" x14ac:dyDescent="0.25">
      <c r="B767" s="2" t="s">
        <v>19</v>
      </c>
      <c r="C767" s="15" t="s">
        <v>68</v>
      </c>
      <c r="D767" s="7">
        <v>118.47</v>
      </c>
      <c r="E767" s="9" t="s">
        <v>95</v>
      </c>
      <c r="F767" s="43">
        <v>0.12</v>
      </c>
      <c r="G767" s="35" t="s">
        <v>99</v>
      </c>
      <c r="H767" s="51">
        <v>1.47</v>
      </c>
      <c r="I767" s="51">
        <f>+IF(F767=0%,D767*H767,0)</f>
        <v>0</v>
      </c>
      <c r="J767" s="51">
        <f>+IF(F767=12%,D767*H767,0)</f>
        <v>174.15090000000001</v>
      </c>
      <c r="K767" s="52">
        <v>0</v>
      </c>
      <c r="L767" s="53">
        <v>0</v>
      </c>
      <c r="M767" s="53">
        <f>+J767*K767</f>
        <v>0</v>
      </c>
      <c r="N767" s="53">
        <f>+(J767-M767)*F767</f>
        <v>20.898108000000001</v>
      </c>
      <c r="O767" s="53">
        <f>+J767-M767+N767</f>
        <v>195.04900800000001</v>
      </c>
      <c r="P767" s="7" t="s">
        <v>45</v>
      </c>
      <c r="Q767" s="7" t="s">
        <v>46</v>
      </c>
      <c r="R767" s="7" t="s">
        <v>45</v>
      </c>
    </row>
    <row r="768" spans="1:18" x14ac:dyDescent="0.25">
      <c r="B768" s="2" t="s">
        <v>21</v>
      </c>
      <c r="C768" s="15" t="s">
        <v>22</v>
      </c>
      <c r="D768" s="7">
        <v>249.58</v>
      </c>
      <c r="E768" s="9" t="s">
        <v>96</v>
      </c>
      <c r="F768" s="43">
        <v>0.12</v>
      </c>
      <c r="G768" s="35" t="s">
        <v>100</v>
      </c>
      <c r="H768" s="51">
        <v>2.96</v>
      </c>
      <c r="I768" s="51">
        <f>+IF(F768=0%,D768*H768,0)</f>
        <v>0</v>
      </c>
      <c r="J768" s="51">
        <f>+IF(F768=12%,D768*H768,0)</f>
        <v>738.7568</v>
      </c>
      <c r="K768" s="52">
        <v>0</v>
      </c>
      <c r="L768" s="53">
        <v>0</v>
      </c>
      <c r="M768" s="53">
        <f>+J768*K768</f>
        <v>0</v>
      </c>
      <c r="N768" s="53">
        <f>+(J768-M768)*F768</f>
        <v>88.650815999999992</v>
      </c>
      <c r="O768" s="53">
        <f>+J768-M768+N768</f>
        <v>827.40761599999996</v>
      </c>
      <c r="P768" s="7" t="s">
        <v>45</v>
      </c>
      <c r="Q768" s="9" t="s">
        <v>46</v>
      </c>
      <c r="R768" s="7" t="s">
        <v>45</v>
      </c>
    </row>
    <row r="769" spans="2:18" ht="30" x14ac:dyDescent="0.25">
      <c r="B769" s="2" t="s">
        <v>23</v>
      </c>
      <c r="C769" s="30" t="s">
        <v>70</v>
      </c>
      <c r="D769" s="7">
        <v>73.540000000000006</v>
      </c>
      <c r="E769" s="9" t="s">
        <v>97</v>
      </c>
      <c r="F769" s="43">
        <v>0.12</v>
      </c>
      <c r="G769" s="35" t="s">
        <v>101</v>
      </c>
      <c r="H769" s="51">
        <v>3.15</v>
      </c>
      <c r="I769" s="51">
        <f>+IF(F769=0%,D769*H769,0)</f>
        <v>0</v>
      </c>
      <c r="J769" s="51">
        <f>+IF(F769=12%,D769*H769,0)</f>
        <v>231.65100000000001</v>
      </c>
      <c r="K769" s="52">
        <v>0</v>
      </c>
      <c r="L769" s="53">
        <v>0</v>
      </c>
      <c r="M769" s="53">
        <f>+J769*K769</f>
        <v>0</v>
      </c>
      <c r="N769" s="53">
        <f>+(J769-M769)*F769</f>
        <v>27.798120000000001</v>
      </c>
      <c r="O769" s="53">
        <f>+J769-M769+N769</f>
        <v>259.44911999999999</v>
      </c>
      <c r="P769" s="7" t="s">
        <v>45</v>
      </c>
      <c r="Q769" s="9" t="s">
        <v>46</v>
      </c>
      <c r="R769" s="7" t="s">
        <v>45</v>
      </c>
    </row>
    <row r="770" spans="2:18" x14ac:dyDescent="0.25">
      <c r="B770" s="2" t="s">
        <v>26</v>
      </c>
      <c r="C770" s="12" t="s">
        <v>71</v>
      </c>
      <c r="D770" s="7">
        <v>29</v>
      </c>
      <c r="E770" s="9" t="s">
        <v>98</v>
      </c>
      <c r="F770" s="43">
        <v>0.12</v>
      </c>
      <c r="G770" s="35" t="s">
        <v>102</v>
      </c>
      <c r="H770" s="51">
        <v>1.25</v>
      </c>
      <c r="I770" s="51">
        <f>+IF(F770=0%,D770*H770,0)</f>
        <v>0</v>
      </c>
      <c r="J770" s="51">
        <f>+IF(F770=12%,D770*H770,0)</f>
        <v>36.25</v>
      </c>
      <c r="K770" s="52">
        <v>0</v>
      </c>
      <c r="L770" s="53">
        <v>0</v>
      </c>
      <c r="M770" s="53">
        <f>+J770*K770</f>
        <v>0</v>
      </c>
      <c r="N770" s="53">
        <f>+(J770-M770)*F770</f>
        <v>4.3499999999999996</v>
      </c>
      <c r="O770" s="53">
        <f>+J770-M770+N770</f>
        <v>40.6</v>
      </c>
      <c r="P770" s="7" t="s">
        <v>45</v>
      </c>
      <c r="Q770" s="9" t="s">
        <v>46</v>
      </c>
      <c r="R770" s="7" t="s">
        <v>45</v>
      </c>
    </row>
    <row r="771" spans="2:18" x14ac:dyDescent="0.25">
      <c r="B771" s="2" t="s">
        <v>27</v>
      </c>
      <c r="C771" s="3" t="s">
        <v>28</v>
      </c>
      <c r="D771" s="13">
        <v>1</v>
      </c>
      <c r="E771" t="s">
        <v>127</v>
      </c>
      <c r="F771" s="43">
        <v>0.12</v>
      </c>
      <c r="G771" t="s">
        <v>361</v>
      </c>
      <c r="H771" s="51">
        <v>380</v>
      </c>
      <c r="I771" s="51">
        <f>+IF(F771=0%,D771*H771,0)</f>
        <v>0</v>
      </c>
      <c r="J771" s="51">
        <f>+IF(F771=12%,D771*H771,0)</f>
        <v>380</v>
      </c>
      <c r="K771" s="52">
        <v>0</v>
      </c>
      <c r="L771" s="53">
        <v>0</v>
      </c>
      <c r="M771" s="53">
        <f>+J771*K771</f>
        <v>0</v>
      </c>
      <c r="N771" s="53">
        <f>+(J771-M771)*F771</f>
        <v>45.6</v>
      </c>
      <c r="O771" s="53">
        <f>+J771-M771+N771</f>
        <v>425.6</v>
      </c>
      <c r="P771" s="7" t="s">
        <v>276</v>
      </c>
      <c r="Q771" s="7" t="s">
        <v>277</v>
      </c>
      <c r="R771" s="7" t="s">
        <v>25</v>
      </c>
    </row>
    <row r="772" spans="2:18" ht="15.75" thickBot="1" x14ac:dyDescent="0.3">
      <c r="B772" s="2" t="s">
        <v>29</v>
      </c>
      <c r="C772" s="3">
        <v>1</v>
      </c>
      <c r="D772" s="13"/>
      <c r="E772" s="9"/>
      <c r="F772" s="9"/>
      <c r="G772" s="9"/>
      <c r="H772" s="10"/>
      <c r="I772" s="10"/>
      <c r="J772" s="10"/>
      <c r="K772" s="10"/>
      <c r="L772" s="9"/>
      <c r="M772" s="10"/>
      <c r="N772" s="10"/>
      <c r="O772" s="11"/>
      <c r="P772" s="9"/>
      <c r="Q772" s="9"/>
      <c r="R772" s="7"/>
    </row>
    <row r="773" spans="2:18" ht="15.75" thickBot="1" x14ac:dyDescent="0.3">
      <c r="B773" s="2" t="s">
        <v>30</v>
      </c>
      <c r="C773" s="7">
        <v>1122728319</v>
      </c>
      <c r="D773" s="16" t="s">
        <v>34</v>
      </c>
      <c r="E773" s="40">
        <f>+SUM(I767:I770)</f>
        <v>0</v>
      </c>
    </row>
    <row r="774" spans="2:18" ht="15.75" thickBot="1" x14ac:dyDescent="0.3">
      <c r="B774" s="2" t="s">
        <v>31</v>
      </c>
      <c r="C774" s="14">
        <v>43505</v>
      </c>
      <c r="D774" s="16" t="s">
        <v>36</v>
      </c>
      <c r="E774" s="17">
        <f>+SUM(J767:J772)</f>
        <v>1560.8087</v>
      </c>
    </row>
    <row r="775" spans="2:18" ht="15.75" thickBot="1" x14ac:dyDescent="0.3">
      <c r="B775" s="2" t="s">
        <v>32</v>
      </c>
      <c r="C775" s="15" t="s">
        <v>33</v>
      </c>
      <c r="D775" s="16" t="s">
        <v>39</v>
      </c>
      <c r="E775" s="17">
        <f>SUM(M767:M772)</f>
        <v>0</v>
      </c>
    </row>
    <row r="776" spans="2:18" ht="15.75" thickBot="1" x14ac:dyDescent="0.3">
      <c r="B776" s="2" t="s">
        <v>35</v>
      </c>
      <c r="C776" s="15" t="s">
        <v>33</v>
      </c>
      <c r="D776" s="16" t="s">
        <v>14</v>
      </c>
      <c r="E776" s="17">
        <f>SUM(N767:N772)</f>
        <v>187.297044</v>
      </c>
    </row>
    <row r="777" spans="2:18" ht="15.75" thickBot="1" x14ac:dyDescent="0.3">
      <c r="B777" s="2" t="s">
        <v>37</v>
      </c>
      <c r="C777" s="15" t="s">
        <v>272</v>
      </c>
      <c r="D777" s="16" t="s">
        <v>15</v>
      </c>
      <c r="E777" s="17">
        <f>SUM(O767:O772)</f>
        <v>1748.105744</v>
      </c>
    </row>
    <row r="778" spans="2:18" x14ac:dyDescent="0.25">
      <c r="B778" s="18"/>
      <c r="C778" s="18"/>
    </row>
    <row r="780" spans="2:18" x14ac:dyDescent="0.25">
      <c r="B780" s="114" t="s">
        <v>47</v>
      </c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</row>
    <row r="781" spans="2:18" x14ac:dyDescent="0.25">
      <c r="B781" s="2" t="s">
        <v>48</v>
      </c>
      <c r="C781" s="33" t="s">
        <v>33</v>
      </c>
      <c r="D781" s="19" t="s">
        <v>16</v>
      </c>
      <c r="E781" s="115" t="s">
        <v>152</v>
      </c>
      <c r="F781" s="116"/>
      <c r="G781" s="47" t="s">
        <v>150</v>
      </c>
      <c r="H781" s="117" t="s">
        <v>49</v>
      </c>
      <c r="I781" s="118"/>
      <c r="J781" s="117" t="s">
        <v>151</v>
      </c>
      <c r="K781" s="118"/>
      <c r="L781" s="5" t="s">
        <v>50</v>
      </c>
      <c r="M781" s="5" t="s">
        <v>51</v>
      </c>
      <c r="N781" s="117" t="s">
        <v>155</v>
      </c>
      <c r="O781" s="118"/>
    </row>
    <row r="782" spans="2:18" x14ac:dyDescent="0.25">
      <c r="B782" s="2" t="s">
        <v>52</v>
      </c>
      <c r="C782" s="15" t="s">
        <v>33</v>
      </c>
      <c r="D782" s="9" t="s">
        <v>177</v>
      </c>
      <c r="E782" s="119" t="s">
        <v>178</v>
      </c>
      <c r="F782" s="119"/>
      <c r="G782" s="48">
        <v>712</v>
      </c>
      <c r="H782" s="120" t="s">
        <v>14</v>
      </c>
      <c r="I782" s="121"/>
      <c r="J782" s="122">
        <v>0.1</v>
      </c>
      <c r="K782" s="123"/>
      <c r="L782" s="20">
        <f>+E776*J782</f>
        <v>18.729704399999999</v>
      </c>
      <c r="M782" s="124">
        <f>+L782+L783</f>
        <v>143.59440040000001</v>
      </c>
      <c r="N782" s="126">
        <f>+E777-M782</f>
        <v>1604.5113435999999</v>
      </c>
      <c r="O782" s="127"/>
    </row>
    <row r="783" spans="2:18" x14ac:dyDescent="0.25">
      <c r="B783" s="2" t="s">
        <v>53</v>
      </c>
      <c r="C783" s="7">
        <v>505</v>
      </c>
      <c r="D783" s="9" t="s">
        <v>171</v>
      </c>
      <c r="E783" s="119" t="s">
        <v>172</v>
      </c>
      <c r="F783" s="119"/>
      <c r="G783" s="48">
        <v>320</v>
      </c>
      <c r="H783" s="120" t="s">
        <v>153</v>
      </c>
      <c r="I783" s="121"/>
      <c r="J783" s="122">
        <v>0.08</v>
      </c>
      <c r="K783" s="123"/>
      <c r="L783" s="20">
        <f>(E774+E773-E775)*J783</f>
        <v>124.86469600000001</v>
      </c>
      <c r="M783" s="125"/>
      <c r="N783" s="128"/>
      <c r="O783" s="129"/>
    </row>
    <row r="784" spans="2:18" x14ac:dyDescent="0.25">
      <c r="B784" s="2" t="s">
        <v>55</v>
      </c>
      <c r="C784" s="3" t="str">
        <f>+CONCATENATE(C775,"-",C776,"-",C777)</f>
        <v>001-001-124</v>
      </c>
    </row>
    <row r="785" spans="1:18" x14ac:dyDescent="0.25">
      <c r="B785" s="2" t="s">
        <v>57</v>
      </c>
      <c r="C785" s="21" t="str">
        <f>+C775</f>
        <v>001</v>
      </c>
    </row>
    <row r="786" spans="1:18" x14ac:dyDescent="0.25">
      <c r="B786" s="2" t="s">
        <v>86</v>
      </c>
      <c r="C786" s="21" t="s">
        <v>143</v>
      </c>
      <c r="E786" s="31" t="s">
        <v>279</v>
      </c>
    </row>
    <row r="787" spans="1:18" x14ac:dyDescent="0.25">
      <c r="B787" s="2" t="s">
        <v>58</v>
      </c>
      <c r="C787" s="21" t="s">
        <v>73</v>
      </c>
      <c r="E787" s="110" t="s">
        <v>330</v>
      </c>
    </row>
    <row r="788" spans="1:18" x14ac:dyDescent="0.25">
      <c r="B788" s="2" t="s">
        <v>60</v>
      </c>
      <c r="C788" s="21" t="s">
        <v>74</v>
      </c>
      <c r="D788" s="9" t="s">
        <v>154</v>
      </c>
    </row>
    <row r="789" spans="1:18" x14ac:dyDescent="0.25">
      <c r="B789" s="2" t="s">
        <v>61</v>
      </c>
      <c r="C789" s="27">
        <f>+(E777-M782)*D789</f>
        <v>481.35340307999996</v>
      </c>
      <c r="D789" s="43">
        <v>0.3</v>
      </c>
    </row>
    <row r="790" spans="1:18" x14ac:dyDescent="0.25">
      <c r="B790" s="2" t="s">
        <v>60</v>
      </c>
      <c r="C790" s="21" t="s">
        <v>75</v>
      </c>
      <c r="D790" s="9" t="s">
        <v>154</v>
      </c>
    </row>
    <row r="791" spans="1:18" x14ac:dyDescent="0.25">
      <c r="B791" s="2" t="s">
        <v>61</v>
      </c>
      <c r="C791" s="27">
        <f>+(E777-M782)*D791</f>
        <v>481.35340307999996</v>
      </c>
      <c r="D791" s="43">
        <v>0.3</v>
      </c>
      <c r="E791" s="28"/>
      <c r="F791" s="28"/>
      <c r="H791" s="23"/>
      <c r="I791" s="23"/>
      <c r="J791" s="24"/>
      <c r="K791" s="24"/>
      <c r="L791" s="25"/>
      <c r="M791" s="26"/>
      <c r="N791" s="22"/>
      <c r="O791" s="22"/>
    </row>
    <row r="792" spans="1:18" x14ac:dyDescent="0.25">
      <c r="B792" s="2" t="s">
        <v>58</v>
      </c>
      <c r="C792" s="21" t="s">
        <v>76</v>
      </c>
      <c r="D792" s="9"/>
    </row>
    <row r="793" spans="1:18" x14ac:dyDescent="0.25">
      <c r="B793" s="2" t="s">
        <v>60</v>
      </c>
      <c r="C793" s="21" t="s">
        <v>89</v>
      </c>
      <c r="D793" s="9" t="s">
        <v>154</v>
      </c>
    </row>
    <row r="794" spans="1:18" x14ac:dyDescent="0.25">
      <c r="B794" s="2" t="s">
        <v>61</v>
      </c>
      <c r="C794" s="27">
        <f>+(E777-M782)*D794</f>
        <v>641.80453743999999</v>
      </c>
      <c r="D794" s="43">
        <v>0.4</v>
      </c>
    </row>
    <row r="795" spans="1:18" x14ac:dyDescent="0.25">
      <c r="C795" s="36"/>
    </row>
    <row r="796" spans="1:18" x14ac:dyDescent="0.25">
      <c r="C796" s="36"/>
    </row>
    <row r="797" spans="1:18" ht="26.25" x14ac:dyDescent="0.4">
      <c r="A797" s="34" t="s">
        <v>268</v>
      </c>
      <c r="B797" s="34" t="s">
        <v>145</v>
      </c>
      <c r="C797" s="1" t="s">
        <v>267</v>
      </c>
    </row>
    <row r="798" spans="1:18" x14ac:dyDescent="0.25">
      <c r="B798" s="112" t="s">
        <v>5</v>
      </c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</row>
    <row r="799" spans="1:18" x14ac:dyDescent="0.25">
      <c r="B799" s="2" t="s">
        <v>6</v>
      </c>
      <c r="C799" s="3" t="s">
        <v>67</v>
      </c>
      <c r="D799" s="4" t="s">
        <v>8</v>
      </c>
      <c r="E799" s="5" t="s">
        <v>9</v>
      </c>
      <c r="F799" s="5" t="s">
        <v>14</v>
      </c>
      <c r="G799" s="5" t="s">
        <v>10</v>
      </c>
      <c r="H799" s="5" t="s">
        <v>11</v>
      </c>
      <c r="I799" s="5" t="s">
        <v>148</v>
      </c>
      <c r="J799" s="5" t="s">
        <v>149</v>
      </c>
      <c r="K799" s="5" t="s">
        <v>12</v>
      </c>
      <c r="L799" s="5" t="s">
        <v>13</v>
      </c>
      <c r="M799" s="5" t="s">
        <v>40</v>
      </c>
      <c r="N799" s="5" t="s">
        <v>14</v>
      </c>
      <c r="O799" s="5" t="s">
        <v>15</v>
      </c>
      <c r="P799" s="5" t="s">
        <v>16</v>
      </c>
      <c r="Q799" s="5" t="s">
        <v>17</v>
      </c>
      <c r="R799" s="5" t="s">
        <v>18</v>
      </c>
    </row>
    <row r="800" spans="1:18" x14ac:dyDescent="0.25">
      <c r="B800" s="2" t="s">
        <v>19</v>
      </c>
      <c r="C800" s="15" t="s">
        <v>68</v>
      </c>
      <c r="D800" s="7">
        <v>118.47</v>
      </c>
      <c r="E800" s="9" t="s">
        <v>95</v>
      </c>
      <c r="F800" s="43">
        <v>0.12</v>
      </c>
      <c r="G800" s="35" t="s">
        <v>99</v>
      </c>
      <c r="H800" s="51">
        <v>1.47</v>
      </c>
      <c r="I800" s="51">
        <f>+IF(F800=0%,D800*H800,0)</f>
        <v>0</v>
      </c>
      <c r="J800" s="51">
        <f>+IF(F800=12%,D800*H800,0)</f>
        <v>174.15090000000001</v>
      </c>
      <c r="K800" s="52">
        <v>0</v>
      </c>
      <c r="L800" s="53">
        <v>0</v>
      </c>
      <c r="M800" s="53">
        <f>+J800*K800</f>
        <v>0</v>
      </c>
      <c r="N800" s="53">
        <f>+(J800-M800)*F800</f>
        <v>20.898108000000001</v>
      </c>
      <c r="O800" s="53">
        <f>+J800-M800+N800</f>
        <v>195.04900800000001</v>
      </c>
      <c r="P800" s="7" t="s">
        <v>45</v>
      </c>
      <c r="Q800" s="7" t="s">
        <v>46</v>
      </c>
      <c r="R800" s="7" t="s">
        <v>45</v>
      </c>
    </row>
    <row r="801" spans="2:18" x14ac:dyDescent="0.25">
      <c r="B801" s="2" t="s">
        <v>21</v>
      </c>
      <c r="C801" s="15" t="s">
        <v>22</v>
      </c>
      <c r="D801" s="7">
        <v>249.58</v>
      </c>
      <c r="E801" s="9" t="s">
        <v>96</v>
      </c>
      <c r="F801" s="43">
        <v>0.12</v>
      </c>
      <c r="G801" s="35" t="s">
        <v>100</v>
      </c>
      <c r="H801" s="51">
        <v>2.96</v>
      </c>
      <c r="I801" s="51">
        <f>+IF(F801=0%,D801*H801,0)</f>
        <v>0</v>
      </c>
      <c r="J801" s="51">
        <f>+IF(F801=12%,D801*H801,0)</f>
        <v>738.7568</v>
      </c>
      <c r="K801" s="52">
        <v>0</v>
      </c>
      <c r="L801" s="53">
        <v>0</v>
      </c>
      <c r="M801" s="53">
        <f>+J801*K801</f>
        <v>0</v>
      </c>
      <c r="N801" s="53">
        <f>+(J801-M801)*F801</f>
        <v>88.650815999999992</v>
      </c>
      <c r="O801" s="53">
        <f>+J801-M801+N801</f>
        <v>827.40761599999996</v>
      </c>
      <c r="P801" s="7" t="s">
        <v>45</v>
      </c>
      <c r="Q801" s="9" t="s">
        <v>46</v>
      </c>
      <c r="R801" s="7" t="s">
        <v>45</v>
      </c>
    </row>
    <row r="802" spans="2:18" ht="30" x14ac:dyDescent="0.25">
      <c r="B802" s="2" t="s">
        <v>23</v>
      </c>
      <c r="C802" s="30" t="s">
        <v>70</v>
      </c>
      <c r="D802" s="7">
        <v>73.540000000000006</v>
      </c>
      <c r="E802" s="9" t="s">
        <v>97</v>
      </c>
      <c r="F802" s="43">
        <v>0.12</v>
      </c>
      <c r="G802" s="35" t="s">
        <v>101</v>
      </c>
      <c r="H802" s="51">
        <v>3.15</v>
      </c>
      <c r="I802" s="51">
        <f>+IF(F802=0%,D802*H802,0)</f>
        <v>0</v>
      </c>
      <c r="J802" s="51">
        <f>+IF(F802=12%,D802*H802,0)</f>
        <v>231.65100000000001</v>
      </c>
      <c r="K802" s="52">
        <v>0</v>
      </c>
      <c r="L802" s="53">
        <v>0</v>
      </c>
      <c r="M802" s="53">
        <f>+J802*K802</f>
        <v>0</v>
      </c>
      <c r="N802" s="53">
        <f>+(J802-M802)*F802</f>
        <v>27.798120000000001</v>
      </c>
      <c r="O802" s="53">
        <f>+J802-M802+N802</f>
        <v>259.44911999999999</v>
      </c>
      <c r="P802" s="7" t="s">
        <v>45</v>
      </c>
      <c r="Q802" s="9" t="s">
        <v>46</v>
      </c>
      <c r="R802" s="7" t="s">
        <v>45</v>
      </c>
    </row>
    <row r="803" spans="2:18" x14ac:dyDescent="0.25">
      <c r="B803" s="2" t="s">
        <v>26</v>
      </c>
      <c r="C803" s="12" t="s">
        <v>71</v>
      </c>
      <c r="D803" s="7">
        <v>29</v>
      </c>
      <c r="E803" s="9" t="s">
        <v>98</v>
      </c>
      <c r="F803" s="43">
        <v>0.12</v>
      </c>
      <c r="G803" s="35" t="s">
        <v>102</v>
      </c>
      <c r="H803" s="51">
        <v>1.25</v>
      </c>
      <c r="I803" s="51">
        <f>+IF(F803=0%,D803*H803,0)</f>
        <v>0</v>
      </c>
      <c r="J803" s="51">
        <f>+IF(F803=12%,D803*H803,0)</f>
        <v>36.25</v>
      </c>
      <c r="K803" s="52">
        <v>0</v>
      </c>
      <c r="L803" s="53">
        <v>0</v>
      </c>
      <c r="M803" s="53">
        <f>+J803*K803</f>
        <v>0</v>
      </c>
      <c r="N803" s="53">
        <f>+(J803-M803)*F803</f>
        <v>4.3499999999999996</v>
      </c>
      <c r="O803" s="53">
        <f>+J803-M803+N803</f>
        <v>40.6</v>
      </c>
      <c r="P803" s="7" t="s">
        <v>45</v>
      </c>
      <c r="Q803" s="9" t="s">
        <v>46</v>
      </c>
      <c r="R803" s="7" t="s">
        <v>45</v>
      </c>
    </row>
    <row r="804" spans="2:18" x14ac:dyDescent="0.25">
      <c r="B804" s="2" t="s">
        <v>27</v>
      </c>
      <c r="C804" s="3" t="s">
        <v>28</v>
      </c>
      <c r="D804" s="13">
        <v>1</v>
      </c>
      <c r="E804" t="s">
        <v>127</v>
      </c>
      <c r="F804" s="43">
        <v>0.12</v>
      </c>
      <c r="G804" t="s">
        <v>362</v>
      </c>
      <c r="H804" s="51">
        <v>380</v>
      </c>
      <c r="I804" s="51">
        <f>+IF(F804=0%,D804*H804,0)</f>
        <v>0</v>
      </c>
      <c r="J804" s="51">
        <f>+IF(F804=12%,D804*H804,0)</f>
        <v>380</v>
      </c>
      <c r="K804" s="52">
        <v>0</v>
      </c>
      <c r="L804" s="53">
        <v>0</v>
      </c>
      <c r="M804" s="53">
        <f>+J804*K804</f>
        <v>0</v>
      </c>
      <c r="N804" s="53">
        <f>+(J804-M804)*F804</f>
        <v>45.6</v>
      </c>
      <c r="O804" s="53">
        <f>+J804-M804+N804</f>
        <v>425.6</v>
      </c>
      <c r="P804" s="7" t="s">
        <v>276</v>
      </c>
      <c r="Q804" s="7" t="s">
        <v>277</v>
      </c>
      <c r="R804" s="7" t="s">
        <v>25</v>
      </c>
    </row>
    <row r="805" spans="2:18" ht="15.75" thickBot="1" x14ac:dyDescent="0.3">
      <c r="B805" s="2" t="s">
        <v>29</v>
      </c>
      <c r="C805" s="3">
        <v>1</v>
      </c>
      <c r="D805" s="13"/>
      <c r="E805" s="9"/>
      <c r="F805" s="9"/>
      <c r="G805" s="9"/>
      <c r="H805" s="10"/>
      <c r="I805" s="10"/>
      <c r="J805" s="10"/>
      <c r="K805" s="10"/>
      <c r="L805" s="9"/>
      <c r="M805" s="10"/>
      <c r="N805" s="10"/>
      <c r="O805" s="11"/>
      <c r="P805" s="9"/>
      <c r="Q805" s="9"/>
      <c r="R805" s="7"/>
    </row>
    <row r="806" spans="2:18" ht="15.75" thickBot="1" x14ac:dyDescent="0.3">
      <c r="B806" s="2" t="s">
        <v>30</v>
      </c>
      <c r="C806" s="7">
        <v>1122728319</v>
      </c>
      <c r="D806" s="16" t="s">
        <v>34</v>
      </c>
      <c r="E806" s="40">
        <f>+SUM(I800:I803)</f>
        <v>0</v>
      </c>
    </row>
    <row r="807" spans="2:18" ht="15.75" thickBot="1" x14ac:dyDescent="0.3">
      <c r="B807" s="2" t="s">
        <v>31</v>
      </c>
      <c r="C807" s="14">
        <v>43505</v>
      </c>
      <c r="D807" s="16" t="s">
        <v>36</v>
      </c>
      <c r="E807" s="17">
        <f>+SUM(J800:J805)</f>
        <v>1560.8087</v>
      </c>
    </row>
    <row r="808" spans="2:18" ht="15.75" thickBot="1" x14ac:dyDescent="0.3">
      <c r="B808" s="2" t="s">
        <v>32</v>
      </c>
      <c r="C808" s="15" t="s">
        <v>33</v>
      </c>
      <c r="D808" s="16" t="s">
        <v>39</v>
      </c>
      <c r="E808" s="17">
        <f>SUM(M800:M805)</f>
        <v>0</v>
      </c>
    </row>
    <row r="809" spans="2:18" ht="15.75" thickBot="1" x14ac:dyDescent="0.3">
      <c r="B809" s="2" t="s">
        <v>35</v>
      </c>
      <c r="C809" s="15" t="s">
        <v>33</v>
      </c>
      <c r="D809" s="16" t="s">
        <v>14</v>
      </c>
      <c r="E809" s="17">
        <f>SUM(N800:N805)</f>
        <v>187.297044</v>
      </c>
    </row>
    <row r="810" spans="2:18" ht="15.75" thickBot="1" x14ac:dyDescent="0.3">
      <c r="B810" s="2" t="s">
        <v>37</v>
      </c>
      <c r="C810" s="15" t="s">
        <v>273</v>
      </c>
      <c r="D810" s="16" t="s">
        <v>15</v>
      </c>
      <c r="E810" s="17">
        <f>SUM(O800:O805)</f>
        <v>1748.105744</v>
      </c>
    </row>
    <row r="811" spans="2:18" x14ac:dyDescent="0.25">
      <c r="B811" s="18"/>
      <c r="C811" s="18"/>
    </row>
    <row r="813" spans="2:18" x14ac:dyDescent="0.25">
      <c r="B813" s="114" t="s">
        <v>47</v>
      </c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</row>
    <row r="814" spans="2:18" x14ac:dyDescent="0.25">
      <c r="B814" s="2" t="s">
        <v>48</v>
      </c>
      <c r="C814" s="15" t="s">
        <v>33</v>
      </c>
      <c r="D814" s="19" t="s">
        <v>16</v>
      </c>
      <c r="E814" s="115" t="s">
        <v>152</v>
      </c>
      <c r="F814" s="116"/>
      <c r="G814" s="47" t="s">
        <v>150</v>
      </c>
      <c r="H814" s="117" t="s">
        <v>49</v>
      </c>
      <c r="I814" s="118"/>
      <c r="J814" s="117" t="s">
        <v>151</v>
      </c>
      <c r="K814" s="118"/>
      <c r="L814" s="5" t="s">
        <v>50</v>
      </c>
      <c r="M814" s="5" t="s">
        <v>51</v>
      </c>
      <c r="N814" s="117" t="s">
        <v>155</v>
      </c>
      <c r="O814" s="118"/>
    </row>
    <row r="815" spans="2:18" x14ac:dyDescent="0.25">
      <c r="B815" s="2" t="s">
        <v>52</v>
      </c>
      <c r="C815" s="15" t="s">
        <v>33</v>
      </c>
      <c r="D815" s="9" t="s">
        <v>181</v>
      </c>
      <c r="E815" s="119" t="s">
        <v>182</v>
      </c>
      <c r="F815" s="119"/>
      <c r="G815" s="48">
        <v>723</v>
      </c>
      <c r="H815" s="120" t="s">
        <v>14</v>
      </c>
      <c r="I815" s="121"/>
      <c r="J815" s="122">
        <v>0.2</v>
      </c>
      <c r="K815" s="123"/>
      <c r="L815" s="20">
        <f>+E809*J815</f>
        <v>37.459408799999999</v>
      </c>
      <c r="M815" s="124">
        <f>+L815+L816</f>
        <v>68.675582800000001</v>
      </c>
      <c r="N815" s="126">
        <f>+E810-M815</f>
        <v>1679.4301611999999</v>
      </c>
      <c r="O815" s="127"/>
    </row>
    <row r="816" spans="2:18" x14ac:dyDescent="0.25">
      <c r="B816" s="2" t="s">
        <v>53</v>
      </c>
      <c r="C816" s="15" t="s">
        <v>164</v>
      </c>
      <c r="D816" s="9" t="s">
        <v>175</v>
      </c>
      <c r="E816" s="119" t="s">
        <v>176</v>
      </c>
      <c r="F816" s="119"/>
      <c r="G816" s="48">
        <v>311</v>
      </c>
      <c r="H816" s="120" t="s">
        <v>153</v>
      </c>
      <c r="I816" s="121"/>
      <c r="J816" s="122">
        <v>0.02</v>
      </c>
      <c r="K816" s="123"/>
      <c r="L816" s="20">
        <f>(E807+E806-E808)*J816</f>
        <v>31.216174000000002</v>
      </c>
      <c r="M816" s="125"/>
      <c r="N816" s="128"/>
      <c r="O816" s="129"/>
    </row>
    <row r="817" spans="1:18" x14ac:dyDescent="0.25">
      <c r="B817" s="2" t="s">
        <v>55</v>
      </c>
      <c r="C817" s="3" t="str">
        <f>+CONCATENATE(C808,"-",C809,"-",C810)</f>
        <v>001-001-125</v>
      </c>
    </row>
    <row r="818" spans="1:18" x14ac:dyDescent="0.25">
      <c r="B818" s="2" t="s">
        <v>57</v>
      </c>
      <c r="C818" s="21">
        <f>+C807</f>
        <v>43505</v>
      </c>
    </row>
    <row r="819" spans="1:18" x14ac:dyDescent="0.25">
      <c r="B819" s="2" t="s">
        <v>86</v>
      </c>
      <c r="C819" s="21" t="s">
        <v>143</v>
      </c>
    </row>
    <row r="820" spans="1:18" x14ac:dyDescent="0.25">
      <c r="B820" s="2" t="s">
        <v>58</v>
      </c>
      <c r="C820" s="21" t="s">
        <v>73</v>
      </c>
      <c r="E820" s="31" t="s">
        <v>279</v>
      </c>
    </row>
    <row r="821" spans="1:18" x14ac:dyDescent="0.25">
      <c r="B821" s="2" t="s">
        <v>60</v>
      </c>
      <c r="C821" s="21" t="s">
        <v>74</v>
      </c>
      <c r="D821" s="9" t="s">
        <v>154</v>
      </c>
      <c r="E821" s="110" t="s">
        <v>330</v>
      </c>
    </row>
    <row r="822" spans="1:18" x14ac:dyDescent="0.25">
      <c r="B822" s="2" t="s">
        <v>61</v>
      </c>
      <c r="C822" s="27">
        <f>+(E810-M815)*D822</f>
        <v>1007.6580967199999</v>
      </c>
      <c r="D822" s="43">
        <v>0.6</v>
      </c>
    </row>
    <row r="823" spans="1:18" x14ac:dyDescent="0.25">
      <c r="B823" s="2" t="s">
        <v>147</v>
      </c>
      <c r="C823" s="21" t="s">
        <v>84</v>
      </c>
    </row>
    <row r="824" spans="1:18" x14ac:dyDescent="0.25">
      <c r="B824" s="2" t="s">
        <v>60</v>
      </c>
      <c r="C824" s="21" t="s">
        <v>85</v>
      </c>
      <c r="D824" s="9" t="s">
        <v>154</v>
      </c>
    </row>
    <row r="825" spans="1:18" x14ac:dyDescent="0.25">
      <c r="B825" s="2" t="s">
        <v>61</v>
      </c>
      <c r="C825" s="27">
        <f>+(E810-M815)*D825</f>
        <v>671.77206448000004</v>
      </c>
      <c r="D825" s="43">
        <v>0.4</v>
      </c>
    </row>
    <row r="827" spans="1:18" x14ac:dyDescent="0.25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</row>
    <row r="828" spans="1:18" ht="26.25" x14ac:dyDescent="0.4">
      <c r="A828" s="34" t="s">
        <v>286</v>
      </c>
      <c r="B828" s="34" t="s">
        <v>92</v>
      </c>
      <c r="C828" s="1" t="s">
        <v>280</v>
      </c>
    </row>
    <row r="829" spans="1:18" x14ac:dyDescent="0.25">
      <c r="B829" s="112" t="s">
        <v>5</v>
      </c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</row>
    <row r="830" spans="1:18" x14ac:dyDescent="0.25">
      <c r="B830" s="2" t="s">
        <v>6</v>
      </c>
      <c r="C830" s="3" t="s">
        <v>7</v>
      </c>
      <c r="D830" s="44" t="s">
        <v>8</v>
      </c>
      <c r="E830" s="5" t="s">
        <v>9</v>
      </c>
      <c r="F830" s="5" t="s">
        <v>14</v>
      </c>
      <c r="G830" s="5" t="s">
        <v>10</v>
      </c>
      <c r="H830" s="5" t="s">
        <v>11</v>
      </c>
      <c r="I830" s="5" t="s">
        <v>148</v>
      </c>
      <c r="J830" s="5" t="s">
        <v>149</v>
      </c>
      <c r="K830" s="5" t="s">
        <v>12</v>
      </c>
      <c r="L830" s="5" t="s">
        <v>13</v>
      </c>
      <c r="M830" s="5" t="s">
        <v>40</v>
      </c>
      <c r="N830" s="5" t="s">
        <v>14</v>
      </c>
      <c r="O830" s="5" t="s">
        <v>15</v>
      </c>
      <c r="P830" s="5" t="s">
        <v>16</v>
      </c>
      <c r="Q830" s="5" t="s">
        <v>17</v>
      </c>
      <c r="R830" s="5" t="s">
        <v>18</v>
      </c>
    </row>
    <row r="831" spans="1:18" x14ac:dyDescent="0.25">
      <c r="B831" s="2" t="s">
        <v>19</v>
      </c>
      <c r="C831" s="6" t="s">
        <v>20</v>
      </c>
      <c r="D831" s="45">
        <v>1</v>
      </c>
      <c r="E831" s="45" t="s">
        <v>103</v>
      </c>
      <c r="F831" s="43">
        <v>0.12</v>
      </c>
      <c r="G831" s="7" t="s">
        <v>481</v>
      </c>
      <c r="H831" s="51">
        <v>5.89</v>
      </c>
      <c r="I831" s="51">
        <f>+IF(F831=0%,D831*H831,0)</f>
        <v>0</v>
      </c>
      <c r="J831" s="51">
        <f>+IF(F831=12%,D831*H831,0)</f>
        <v>5.89</v>
      </c>
      <c r="K831" s="52">
        <v>0</v>
      </c>
      <c r="L831" s="53">
        <v>0</v>
      </c>
      <c r="M831" s="53">
        <f>+J831*K831</f>
        <v>0</v>
      </c>
      <c r="N831" s="53">
        <f>+(J831-M831)*F831</f>
        <v>0.70679999999999998</v>
      </c>
      <c r="O831" s="53">
        <f>+J831-M831+N831</f>
        <v>6.5968</v>
      </c>
      <c r="P831" s="7" t="s">
        <v>477</v>
      </c>
      <c r="Q831" s="7" t="s">
        <v>277</v>
      </c>
      <c r="R831" s="7" t="s">
        <v>45</v>
      </c>
    </row>
    <row r="832" spans="1:18" x14ac:dyDescent="0.25">
      <c r="B832" s="2" t="s">
        <v>21</v>
      </c>
      <c r="C832" s="15" t="s">
        <v>22</v>
      </c>
      <c r="D832" s="45">
        <v>19</v>
      </c>
      <c r="E832" s="45" t="s">
        <v>105</v>
      </c>
      <c r="F832" s="43">
        <v>0.12</v>
      </c>
      <c r="G832" s="7" t="s">
        <v>482</v>
      </c>
      <c r="H832" s="51">
        <v>0.28571400000000002</v>
      </c>
      <c r="I832" s="51">
        <f>+IF(F832=0%,D832*H832,0)</f>
        <v>0</v>
      </c>
      <c r="J832" s="51">
        <f>+IF(F832=12%,D832*H832,0)</f>
        <v>5.428566</v>
      </c>
      <c r="K832" s="52">
        <v>0</v>
      </c>
      <c r="L832" s="53">
        <v>0</v>
      </c>
      <c r="M832" s="53">
        <f>+J832*K832</f>
        <v>0</v>
      </c>
      <c r="N832" s="53">
        <f>+(J832-M832)*F832</f>
        <v>0.65142791999999994</v>
      </c>
      <c r="O832" s="53">
        <f>+J832-M832+N832</f>
        <v>6.0799939199999997</v>
      </c>
      <c r="P832" s="7" t="s">
        <v>477</v>
      </c>
      <c r="Q832" s="7" t="s">
        <v>277</v>
      </c>
      <c r="R832" s="7" t="s">
        <v>45</v>
      </c>
    </row>
    <row r="833" spans="2:18" ht="30" x14ac:dyDescent="0.25">
      <c r="B833" s="2" t="s">
        <v>23</v>
      </c>
      <c r="C833" s="8" t="s">
        <v>70</v>
      </c>
      <c r="D833" s="46">
        <v>2</v>
      </c>
      <c r="E833" s="45" t="s">
        <v>107</v>
      </c>
      <c r="F833" s="43">
        <v>0.12</v>
      </c>
      <c r="G833" s="7" t="s">
        <v>483</v>
      </c>
      <c r="H833" s="51">
        <v>1.3838999999999999</v>
      </c>
      <c r="I833" s="51">
        <f>+IF(F833=0%,D833*H833,0)</f>
        <v>0</v>
      </c>
      <c r="J833" s="51">
        <f>+IF(F833=12%,D833*H833,0)</f>
        <v>2.7677999999999998</v>
      </c>
      <c r="K833" s="52">
        <v>0</v>
      </c>
      <c r="L833" s="53">
        <v>0</v>
      </c>
      <c r="M833" s="53">
        <f>+J833*K833</f>
        <v>0</v>
      </c>
      <c r="N833" s="53">
        <f>+(J833-M833)*F833</f>
        <v>0.33213599999999999</v>
      </c>
      <c r="O833" s="53">
        <f>+J833-M833+N833</f>
        <v>3.0999359999999996</v>
      </c>
      <c r="P833" s="7" t="s">
        <v>477</v>
      </c>
      <c r="Q833" s="7" t="s">
        <v>277</v>
      </c>
      <c r="R833" s="7" t="s">
        <v>45</v>
      </c>
    </row>
    <row r="834" spans="2:18" x14ac:dyDescent="0.25">
      <c r="B834" s="2" t="s">
        <v>26</v>
      </c>
      <c r="C834" s="12" t="s">
        <v>71</v>
      </c>
      <c r="D834" s="46"/>
      <c r="E834" s="45"/>
      <c r="F834" s="43"/>
      <c r="G834" s="7"/>
      <c r="H834" s="51"/>
      <c r="I834" s="51"/>
      <c r="J834" s="51"/>
      <c r="K834" s="52"/>
      <c r="L834" s="53"/>
      <c r="M834" s="53"/>
      <c r="N834" s="53"/>
      <c r="O834" s="53"/>
      <c r="P834" s="7"/>
      <c r="Q834" s="45"/>
      <c r="R834" s="7"/>
    </row>
    <row r="835" spans="2:18" x14ac:dyDescent="0.25">
      <c r="B835" s="2" t="s">
        <v>27</v>
      </c>
      <c r="C835" s="3" t="s">
        <v>28</v>
      </c>
      <c r="D835" s="45"/>
      <c r="E835" s="45"/>
      <c r="F835" s="43"/>
      <c r="H835" s="10"/>
      <c r="I835" s="10"/>
      <c r="J835" s="10"/>
      <c r="K835" s="52"/>
      <c r="L835" s="53"/>
      <c r="M835" s="53"/>
      <c r="N835" s="53"/>
      <c r="O835" s="53"/>
      <c r="P835" s="35"/>
      <c r="Q835" s="45"/>
      <c r="R835" s="7"/>
    </row>
    <row r="836" spans="2:18" x14ac:dyDescent="0.25">
      <c r="B836" s="2" t="s">
        <v>29</v>
      </c>
      <c r="C836" s="3">
        <v>1</v>
      </c>
      <c r="D836" s="45"/>
      <c r="E836" s="45"/>
      <c r="F836" s="45"/>
      <c r="G836" s="45"/>
      <c r="H836" s="10"/>
      <c r="I836" s="10"/>
      <c r="J836" s="10"/>
      <c r="K836" s="10"/>
      <c r="L836" s="45"/>
      <c r="M836" s="10"/>
      <c r="N836" s="10"/>
      <c r="O836" s="11"/>
      <c r="P836" s="45"/>
      <c r="Q836" s="45"/>
      <c r="R836" s="7"/>
    </row>
    <row r="837" spans="2:18" ht="15.75" thickBot="1" x14ac:dyDescent="0.3">
      <c r="B837" s="2" t="s">
        <v>30</v>
      </c>
      <c r="C837" s="6" t="s">
        <v>478</v>
      </c>
      <c r="D837" s="39" t="s">
        <v>148</v>
      </c>
      <c r="E837" s="49">
        <f>+SUM(I831:I834)</f>
        <v>0</v>
      </c>
      <c r="G837" s="23"/>
      <c r="H837" s="41"/>
      <c r="I837" s="41"/>
      <c r="J837" s="41"/>
      <c r="K837" s="41"/>
      <c r="L837" s="23"/>
      <c r="M837" s="41"/>
      <c r="N837" s="41"/>
      <c r="O837" s="42"/>
      <c r="P837" s="23"/>
      <c r="Q837" s="23"/>
      <c r="R837" s="22"/>
    </row>
    <row r="838" spans="2:18" ht="15.75" thickBot="1" x14ac:dyDescent="0.3">
      <c r="B838" s="2" t="s">
        <v>31</v>
      </c>
      <c r="C838" s="14">
        <v>43510</v>
      </c>
      <c r="D838" s="16" t="s">
        <v>36</v>
      </c>
      <c r="E838" s="50">
        <f>+SUM(J831:J836)</f>
        <v>14.086366</v>
      </c>
      <c r="G838" s="23"/>
      <c r="H838" s="41"/>
      <c r="I838" s="41"/>
      <c r="J838" s="41"/>
      <c r="K838" s="41"/>
      <c r="L838" s="23"/>
      <c r="M838" s="41"/>
      <c r="N838" s="41"/>
      <c r="O838" s="42"/>
      <c r="P838" s="23"/>
      <c r="Q838" s="23"/>
      <c r="R838" s="22"/>
    </row>
    <row r="839" spans="2:18" ht="15.75" thickBot="1" x14ac:dyDescent="0.3">
      <c r="B839" s="2" t="s">
        <v>32</v>
      </c>
      <c r="C839" s="15" t="s">
        <v>231</v>
      </c>
      <c r="D839" s="16" t="s">
        <v>39</v>
      </c>
      <c r="E839" s="50">
        <f>SUM(M831:M836)</f>
        <v>0</v>
      </c>
      <c r="K839" s="41"/>
    </row>
    <row r="840" spans="2:18" ht="15.75" thickBot="1" x14ac:dyDescent="0.3">
      <c r="B840" s="2" t="s">
        <v>35</v>
      </c>
      <c r="C840" s="15" t="s">
        <v>479</v>
      </c>
      <c r="D840" s="16" t="s">
        <v>14</v>
      </c>
      <c r="E840" s="50">
        <f>SUM(N831:N836)</f>
        <v>1.69036392</v>
      </c>
    </row>
    <row r="841" spans="2:18" ht="15.75" thickBot="1" x14ac:dyDescent="0.3">
      <c r="B841" s="2" t="s">
        <v>37</v>
      </c>
      <c r="C841" s="15" t="s">
        <v>480</v>
      </c>
      <c r="D841" s="16" t="s">
        <v>15</v>
      </c>
      <c r="E841" s="50">
        <f>SUM(O831:O836)</f>
        <v>15.776729919999999</v>
      </c>
    </row>
    <row r="842" spans="2:18" x14ac:dyDescent="0.25">
      <c r="B842" s="18"/>
      <c r="C842" s="18"/>
    </row>
    <row r="843" spans="2:18" x14ac:dyDescent="0.25">
      <c r="B843" s="18"/>
      <c r="C843" s="18"/>
    </row>
    <row r="844" spans="2:18" x14ac:dyDescent="0.25">
      <c r="B844" s="114" t="s">
        <v>207</v>
      </c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</row>
    <row r="845" spans="2:18" x14ac:dyDescent="0.25">
      <c r="B845" s="2" t="s">
        <v>86</v>
      </c>
      <c r="C845" s="21" t="s">
        <v>87</v>
      </c>
      <c r="D845" s="22"/>
      <c r="F845" s="23"/>
      <c r="H845" s="23"/>
      <c r="I845" s="23"/>
      <c r="J845" s="24"/>
      <c r="K845" s="24"/>
      <c r="L845" s="25"/>
      <c r="M845" s="26"/>
      <c r="N845" s="22"/>
      <c r="O845" s="22"/>
    </row>
    <row r="846" spans="2:18" x14ac:dyDescent="0.25">
      <c r="B846" s="2" t="s">
        <v>59</v>
      </c>
      <c r="C846" s="21" t="s">
        <v>84</v>
      </c>
      <c r="D846" s="22"/>
      <c r="E846" s="23"/>
      <c r="F846" s="23"/>
      <c r="H846" s="23"/>
      <c r="I846" s="23"/>
      <c r="J846" s="24"/>
      <c r="K846" s="24"/>
      <c r="L846" s="25"/>
      <c r="M846" s="26"/>
      <c r="N846" s="22"/>
      <c r="O846" s="22"/>
    </row>
    <row r="847" spans="2:18" x14ac:dyDescent="0.25">
      <c r="B847" s="2" t="s">
        <v>60</v>
      </c>
      <c r="C847" s="21" t="s">
        <v>85</v>
      </c>
      <c r="D847" s="22"/>
      <c r="E847" s="28" t="s">
        <v>279</v>
      </c>
      <c r="F847" s="23"/>
      <c r="H847" s="23"/>
      <c r="I847" s="23"/>
      <c r="J847" s="24"/>
      <c r="K847" s="24"/>
      <c r="L847" s="25"/>
      <c r="M847" s="26"/>
      <c r="N847" s="22"/>
      <c r="O847" s="22"/>
    </row>
    <row r="848" spans="2:18" x14ac:dyDescent="0.25">
      <c r="B848" s="2" t="s">
        <v>61</v>
      </c>
      <c r="C848" s="27">
        <f>+E841</f>
        <v>15.776729919999999</v>
      </c>
      <c r="D848" s="22"/>
      <c r="E848" s="110" t="s">
        <v>330</v>
      </c>
      <c r="G848" s="23"/>
      <c r="H848" s="24"/>
      <c r="I848" s="24"/>
      <c r="J848" s="24"/>
      <c r="K848" s="25"/>
      <c r="L848" s="26"/>
      <c r="M848" s="22"/>
      <c r="N848" s="22"/>
    </row>
    <row r="851" spans="1:18" ht="26.25" x14ac:dyDescent="0.4">
      <c r="A851" s="34" t="s">
        <v>268</v>
      </c>
      <c r="B851" s="34" t="s">
        <v>93</v>
      </c>
      <c r="C851" s="1" t="s">
        <v>281</v>
      </c>
    </row>
    <row r="852" spans="1:18" x14ac:dyDescent="0.25">
      <c r="B852" s="112" t="s">
        <v>5</v>
      </c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</row>
    <row r="853" spans="1:18" x14ac:dyDescent="0.25">
      <c r="B853" s="2" t="s">
        <v>6</v>
      </c>
      <c r="C853" s="3" t="s">
        <v>7</v>
      </c>
      <c r="D853" s="44" t="s">
        <v>8</v>
      </c>
      <c r="E853" s="5" t="s">
        <v>9</v>
      </c>
      <c r="F853" s="5" t="s">
        <v>14</v>
      </c>
      <c r="G853" s="5" t="s">
        <v>10</v>
      </c>
      <c r="H853" s="5" t="s">
        <v>11</v>
      </c>
      <c r="I853" s="5" t="s">
        <v>148</v>
      </c>
      <c r="J853" s="5" t="s">
        <v>149</v>
      </c>
      <c r="K853" s="5" t="s">
        <v>12</v>
      </c>
      <c r="L853" s="5" t="s">
        <v>13</v>
      </c>
      <c r="M853" s="5" t="s">
        <v>40</v>
      </c>
      <c r="N853" s="5" t="s">
        <v>14</v>
      </c>
      <c r="O853" s="5" t="s">
        <v>15</v>
      </c>
      <c r="P853" s="5" t="s">
        <v>16</v>
      </c>
      <c r="Q853" s="5" t="s">
        <v>17</v>
      </c>
      <c r="R853" s="5" t="s">
        <v>18</v>
      </c>
    </row>
    <row r="854" spans="1:18" x14ac:dyDescent="0.25">
      <c r="B854" s="2" t="s">
        <v>19</v>
      </c>
      <c r="C854" s="6" t="s">
        <v>20</v>
      </c>
      <c r="D854" s="45">
        <v>61</v>
      </c>
      <c r="E854" s="45" t="s">
        <v>41</v>
      </c>
      <c r="F854" s="43">
        <v>0.12</v>
      </c>
      <c r="G854" s="7" t="s">
        <v>104</v>
      </c>
      <c r="H854" s="51">
        <v>1.45</v>
      </c>
      <c r="I854" s="51">
        <f>+IF(F854=0%,D854*H854,0)</f>
        <v>0</v>
      </c>
      <c r="J854" s="51">
        <f>+IF(F854=12%,D854*H854,0)</f>
        <v>88.45</v>
      </c>
      <c r="K854" s="52">
        <v>0</v>
      </c>
      <c r="L854" s="53">
        <v>0</v>
      </c>
      <c r="M854" s="53">
        <f>+J854*K854</f>
        <v>0</v>
      </c>
      <c r="N854" s="53">
        <f>+(J854-M854)*F854</f>
        <v>10.614000000000001</v>
      </c>
      <c r="O854" s="53">
        <f>+J854-M854+N854</f>
        <v>99.064000000000007</v>
      </c>
      <c r="P854" s="7" t="s">
        <v>45</v>
      </c>
      <c r="Q854" s="7" t="s">
        <v>46</v>
      </c>
      <c r="R854" s="7" t="s">
        <v>45</v>
      </c>
    </row>
    <row r="855" spans="1:18" x14ac:dyDescent="0.25">
      <c r="B855" s="2" t="s">
        <v>21</v>
      </c>
      <c r="C855" s="15" t="s">
        <v>22</v>
      </c>
      <c r="D855" s="45">
        <v>56.21</v>
      </c>
      <c r="E855" s="45" t="s">
        <v>42</v>
      </c>
      <c r="F855" s="43">
        <v>0.12</v>
      </c>
      <c r="G855" s="7" t="s">
        <v>106</v>
      </c>
      <c r="H855" s="51">
        <v>2.96</v>
      </c>
      <c r="I855" s="51">
        <f>+IF(F855=0%,D855*H855,0)</f>
        <v>0</v>
      </c>
      <c r="J855" s="51">
        <f>+IF(F855=12%,D855*H855,0)</f>
        <v>166.38159999999999</v>
      </c>
      <c r="K855" s="52">
        <v>0</v>
      </c>
      <c r="L855" s="53">
        <v>0</v>
      </c>
      <c r="M855" s="53">
        <f>+J855*K855</f>
        <v>0</v>
      </c>
      <c r="N855" s="53">
        <f>+(J855-M855)*F855</f>
        <v>19.965791999999997</v>
      </c>
      <c r="O855" s="53">
        <f>+J855-M855+N855</f>
        <v>186.34739199999999</v>
      </c>
      <c r="P855" s="7" t="s">
        <v>45</v>
      </c>
      <c r="Q855" s="45" t="s">
        <v>46</v>
      </c>
      <c r="R855" s="7" t="s">
        <v>45</v>
      </c>
    </row>
    <row r="856" spans="1:18" ht="30" x14ac:dyDescent="0.25">
      <c r="B856" s="2" t="s">
        <v>23</v>
      </c>
      <c r="C856" s="30" t="s">
        <v>70</v>
      </c>
      <c r="D856" s="46">
        <v>49</v>
      </c>
      <c r="E856" s="45" t="s">
        <v>43</v>
      </c>
      <c r="F856" s="43">
        <v>0.12</v>
      </c>
      <c r="G856" s="7" t="s">
        <v>108</v>
      </c>
      <c r="H856" s="51">
        <v>3.15</v>
      </c>
      <c r="I856" s="51">
        <f>+IF(F856=0%,D856*H856,0)</f>
        <v>0</v>
      </c>
      <c r="J856" s="51">
        <f>+IF(F856=12%,D856*H856,0)</f>
        <v>154.35</v>
      </c>
      <c r="K856" s="52">
        <v>0</v>
      </c>
      <c r="L856" s="53">
        <v>0</v>
      </c>
      <c r="M856" s="53">
        <f>+J856*K856</f>
        <v>0</v>
      </c>
      <c r="N856" s="53">
        <f>+(J856-M856)*F856</f>
        <v>18.521999999999998</v>
      </c>
      <c r="O856" s="53">
        <f>+J856-M856+N856</f>
        <v>172.87199999999999</v>
      </c>
      <c r="P856" s="7" t="s">
        <v>45</v>
      </c>
      <c r="Q856" s="45" t="s">
        <v>46</v>
      </c>
      <c r="R856" s="7" t="s">
        <v>45</v>
      </c>
    </row>
    <row r="857" spans="1:18" x14ac:dyDescent="0.25">
      <c r="B857" s="2" t="s">
        <v>26</v>
      </c>
      <c r="C857" s="12" t="s">
        <v>71</v>
      </c>
      <c r="D857" s="46">
        <v>12.2</v>
      </c>
      <c r="E857" s="45" t="s">
        <v>44</v>
      </c>
      <c r="F857" s="43">
        <v>0.12</v>
      </c>
      <c r="G857" s="7" t="s">
        <v>110</v>
      </c>
      <c r="H857" s="51">
        <v>1.25</v>
      </c>
      <c r="I857" s="51">
        <f>+IF(F857=0%,D857*H857,0)</f>
        <v>0</v>
      </c>
      <c r="J857" s="51">
        <f>+IF(F857=12%,D857*H857,0)</f>
        <v>15.25</v>
      </c>
      <c r="K857" s="52">
        <v>0</v>
      </c>
      <c r="L857" s="53">
        <v>0</v>
      </c>
      <c r="M857" s="53">
        <f>+J857*K857</f>
        <v>0</v>
      </c>
      <c r="N857" s="53">
        <f>+(J857-M857)*F857</f>
        <v>1.8299999999999998</v>
      </c>
      <c r="O857" s="53">
        <f>+J857-M857+N857</f>
        <v>17.079999999999998</v>
      </c>
      <c r="P857" s="7" t="s">
        <v>45</v>
      </c>
      <c r="Q857" s="45" t="s">
        <v>46</v>
      </c>
      <c r="R857" s="7" t="s">
        <v>45</v>
      </c>
    </row>
    <row r="858" spans="1:18" x14ac:dyDescent="0.25">
      <c r="B858" s="2" t="s">
        <v>27</v>
      </c>
      <c r="C858" s="3" t="s">
        <v>28</v>
      </c>
      <c r="D858" s="45">
        <v>1</v>
      </c>
      <c r="E858" t="s">
        <v>114</v>
      </c>
      <c r="F858" s="43">
        <v>0.12</v>
      </c>
      <c r="G858" t="s">
        <v>359</v>
      </c>
      <c r="H858" s="10">
        <v>250</v>
      </c>
      <c r="I858" s="10">
        <f>+IF(F858=0%,D858*H858,0)</f>
        <v>0</v>
      </c>
      <c r="J858" s="10">
        <f>+IF(F858=12%,D858*H858,0)</f>
        <v>250</v>
      </c>
      <c r="K858" s="52">
        <v>0</v>
      </c>
      <c r="L858" s="53">
        <v>0</v>
      </c>
      <c r="M858" s="53">
        <f>+J858*K858</f>
        <v>0</v>
      </c>
      <c r="N858" s="53">
        <f>+(J858-M858)*F858</f>
        <v>30</v>
      </c>
      <c r="O858" s="53">
        <f>+J858-M858+N858</f>
        <v>280</v>
      </c>
      <c r="P858" s="35" t="s">
        <v>275</v>
      </c>
      <c r="Q858" s="45" t="s">
        <v>274</v>
      </c>
      <c r="R858" s="7" t="s">
        <v>25</v>
      </c>
    </row>
    <row r="859" spans="1:18" x14ac:dyDescent="0.25">
      <c r="B859" s="2" t="s">
        <v>29</v>
      </c>
      <c r="C859" s="3">
        <v>1</v>
      </c>
      <c r="D859" s="45"/>
      <c r="E859" s="45"/>
      <c r="F859" s="45"/>
      <c r="G859" s="45"/>
      <c r="H859" s="10"/>
      <c r="I859" s="10"/>
      <c r="J859" s="10"/>
      <c r="K859" s="10"/>
      <c r="L859" s="45"/>
      <c r="M859" s="10"/>
      <c r="N859" s="10"/>
      <c r="O859" s="11"/>
      <c r="P859" s="45"/>
      <c r="Q859" s="45"/>
      <c r="R859" s="7"/>
    </row>
    <row r="860" spans="1:18" ht="15.75" thickBot="1" x14ac:dyDescent="0.3">
      <c r="B860" s="2" t="s">
        <v>30</v>
      </c>
      <c r="C860" s="37">
        <v>1120335551</v>
      </c>
      <c r="D860" s="39" t="s">
        <v>34</v>
      </c>
      <c r="E860" s="40">
        <f>+SUM(I854:I859)</f>
        <v>0</v>
      </c>
      <c r="F860" s="23"/>
      <c r="G860" s="23"/>
      <c r="H860" s="41"/>
      <c r="I860" s="41"/>
      <c r="J860" s="41"/>
      <c r="K860" s="41"/>
      <c r="L860" s="23"/>
      <c r="M860" s="41"/>
      <c r="N860" s="41"/>
      <c r="O860" s="42"/>
      <c r="P860" s="23"/>
      <c r="Q860" s="23"/>
      <c r="R860" s="22"/>
    </row>
    <row r="861" spans="1:18" ht="15.75" thickBot="1" x14ac:dyDescent="0.3">
      <c r="B861" s="2" t="s">
        <v>31</v>
      </c>
      <c r="C861" s="14">
        <v>43510</v>
      </c>
      <c r="D861" s="16" t="s">
        <v>36</v>
      </c>
      <c r="E861" s="17">
        <f>+SUM(J854:J859)</f>
        <v>674.4316</v>
      </c>
      <c r="F861" s="23"/>
      <c r="G861" s="23"/>
      <c r="H861" s="41"/>
      <c r="I861" s="41"/>
      <c r="J861" s="41"/>
      <c r="K861" s="41"/>
      <c r="L861" s="23"/>
      <c r="M861" s="41"/>
      <c r="N861" s="41"/>
      <c r="O861" s="42"/>
      <c r="P861" s="23"/>
      <c r="Q861" s="23"/>
      <c r="R861" s="22"/>
    </row>
    <row r="862" spans="1:18" ht="15.75" thickBot="1" x14ac:dyDescent="0.3">
      <c r="B862" s="2" t="s">
        <v>32</v>
      </c>
      <c r="C862" s="15" t="s">
        <v>33</v>
      </c>
      <c r="D862" s="16" t="s">
        <v>39</v>
      </c>
      <c r="E862" s="17">
        <f>SUM(M854:M859)</f>
        <v>0</v>
      </c>
      <c r="F862" s="23"/>
    </row>
    <row r="863" spans="1:18" ht="15.75" thickBot="1" x14ac:dyDescent="0.3">
      <c r="B863" s="2" t="s">
        <v>35</v>
      </c>
      <c r="C863" s="15" t="s">
        <v>33</v>
      </c>
      <c r="D863" s="16" t="s">
        <v>14</v>
      </c>
      <c r="E863" s="17">
        <f>SUM(N854:N859)</f>
        <v>80.931792000000002</v>
      </c>
      <c r="F863" s="23"/>
    </row>
    <row r="864" spans="1:18" ht="15.75" thickBot="1" x14ac:dyDescent="0.3">
      <c r="B864" s="2" t="s">
        <v>37</v>
      </c>
      <c r="C864" s="15" t="s">
        <v>364</v>
      </c>
      <c r="D864" s="16" t="s">
        <v>15</v>
      </c>
      <c r="E864" s="17">
        <f>SUM(O854:O859)</f>
        <v>755.36339199999998</v>
      </c>
      <c r="F864" s="23"/>
    </row>
    <row r="865" spans="1:18" x14ac:dyDescent="0.25">
      <c r="B865" s="18"/>
      <c r="C865" s="18"/>
    </row>
    <row r="866" spans="1:18" x14ac:dyDescent="0.25">
      <c r="B866" s="18"/>
      <c r="C866" s="18"/>
    </row>
    <row r="867" spans="1:18" x14ac:dyDescent="0.25">
      <c r="B867" s="114" t="s">
        <v>207</v>
      </c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</row>
    <row r="868" spans="1:18" x14ac:dyDescent="0.25">
      <c r="B868" s="2" t="s">
        <v>86</v>
      </c>
      <c r="C868" s="21" t="s">
        <v>87</v>
      </c>
      <c r="D868" s="22"/>
      <c r="F868" s="23"/>
      <c r="G868" s="23"/>
      <c r="H868" s="23"/>
      <c r="I868" s="23"/>
      <c r="J868" s="24"/>
      <c r="K868" s="24"/>
      <c r="L868" s="25"/>
      <c r="M868" s="26"/>
      <c r="N868" s="22"/>
      <c r="O868" s="22"/>
    </row>
    <row r="869" spans="1:18" x14ac:dyDescent="0.25">
      <c r="B869" s="2" t="s">
        <v>59</v>
      </c>
      <c r="C869" s="21" t="s">
        <v>88</v>
      </c>
      <c r="D869" s="22"/>
      <c r="E869" s="23"/>
      <c r="F869" s="23"/>
      <c r="G869" s="23"/>
      <c r="H869" s="23"/>
      <c r="I869" s="23"/>
      <c r="J869" s="24"/>
      <c r="K869" s="24"/>
      <c r="L869" s="25"/>
      <c r="M869" s="26"/>
      <c r="N869" s="22"/>
      <c r="O869" s="22"/>
    </row>
    <row r="870" spans="1:18" x14ac:dyDescent="0.25">
      <c r="B870" s="2" t="s">
        <v>60</v>
      </c>
      <c r="C870" s="21" t="s">
        <v>89</v>
      </c>
      <c r="D870" s="22"/>
      <c r="E870" s="28" t="s">
        <v>279</v>
      </c>
      <c r="F870" s="23"/>
      <c r="G870" s="23"/>
      <c r="H870" s="23"/>
      <c r="I870" s="23"/>
      <c r="J870" s="24"/>
      <c r="K870" s="24"/>
      <c r="L870" s="25"/>
      <c r="M870" s="26"/>
      <c r="N870" s="22"/>
      <c r="O870" s="22"/>
    </row>
    <row r="871" spans="1:18" x14ac:dyDescent="0.25">
      <c r="B871" s="2" t="s">
        <v>61</v>
      </c>
      <c r="C871" s="27">
        <f>+E864</f>
        <v>755.36339199999998</v>
      </c>
      <c r="D871" s="22"/>
      <c r="E871" s="110" t="s">
        <v>330</v>
      </c>
      <c r="G871" s="23"/>
      <c r="H871" s="23"/>
      <c r="I871" s="24"/>
      <c r="J871" s="24"/>
      <c r="K871" s="25"/>
      <c r="L871" s="26"/>
      <c r="M871" s="22"/>
      <c r="N871" s="22"/>
    </row>
    <row r="874" spans="1:18" ht="26.25" x14ac:dyDescent="0.4">
      <c r="A874" s="34" t="s">
        <v>268</v>
      </c>
      <c r="B874" s="34" t="s">
        <v>94</v>
      </c>
      <c r="C874" s="1" t="s">
        <v>282</v>
      </c>
    </row>
    <row r="875" spans="1:18" x14ac:dyDescent="0.25">
      <c r="B875" s="112" t="s">
        <v>5</v>
      </c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</row>
    <row r="876" spans="1:18" x14ac:dyDescent="0.25">
      <c r="B876" s="2" t="s">
        <v>6</v>
      </c>
      <c r="C876" s="3" t="s">
        <v>7</v>
      </c>
      <c r="D876" s="44" t="s">
        <v>8</v>
      </c>
      <c r="E876" s="5" t="s">
        <v>9</v>
      </c>
      <c r="F876" s="5" t="s">
        <v>14</v>
      </c>
      <c r="G876" s="5" t="s">
        <v>10</v>
      </c>
      <c r="H876" s="5" t="s">
        <v>11</v>
      </c>
      <c r="I876" s="5" t="s">
        <v>148</v>
      </c>
      <c r="J876" s="5" t="s">
        <v>149</v>
      </c>
      <c r="K876" s="5" t="s">
        <v>12</v>
      </c>
      <c r="L876" s="5" t="s">
        <v>13</v>
      </c>
      <c r="M876" s="5" t="s">
        <v>40</v>
      </c>
      <c r="N876" s="5" t="s">
        <v>14</v>
      </c>
      <c r="O876" s="5" t="s">
        <v>15</v>
      </c>
      <c r="P876" s="5" t="s">
        <v>16</v>
      </c>
      <c r="Q876" s="5" t="s">
        <v>17</v>
      </c>
      <c r="R876" s="5" t="s">
        <v>18</v>
      </c>
    </row>
    <row r="877" spans="1:18" x14ac:dyDescent="0.25">
      <c r="B877" s="2" t="s">
        <v>19</v>
      </c>
      <c r="C877" s="6" t="s">
        <v>20</v>
      </c>
      <c r="D877" s="45">
        <v>61</v>
      </c>
      <c r="E877" s="45" t="s">
        <v>41</v>
      </c>
      <c r="F877" s="43">
        <v>0.12</v>
      </c>
      <c r="G877" s="7" t="s">
        <v>104</v>
      </c>
      <c r="H877" s="51">
        <v>1.45</v>
      </c>
      <c r="I877" s="51">
        <f>+IF(F877=0%,D877*H877,0)</f>
        <v>0</v>
      </c>
      <c r="J877" s="51">
        <f>+IF(F877=12%,D877*H877,0)</f>
        <v>88.45</v>
      </c>
      <c r="K877" s="52">
        <v>0</v>
      </c>
      <c r="L877" s="53">
        <v>0</v>
      </c>
      <c r="M877" s="53">
        <f>+J877*K877</f>
        <v>0</v>
      </c>
      <c r="N877" s="53">
        <f>+(J877-M877)*F877</f>
        <v>10.614000000000001</v>
      </c>
      <c r="O877" s="53">
        <f>+J877-M877+N877</f>
        <v>99.064000000000007</v>
      </c>
      <c r="P877" s="7" t="s">
        <v>45</v>
      </c>
      <c r="Q877" s="7" t="s">
        <v>46</v>
      </c>
      <c r="R877" s="7" t="s">
        <v>45</v>
      </c>
    </row>
    <row r="878" spans="1:18" x14ac:dyDescent="0.25">
      <c r="B878" s="2" t="s">
        <v>21</v>
      </c>
      <c r="C878" s="15" t="s">
        <v>22</v>
      </c>
      <c r="D878" s="45">
        <v>56.21</v>
      </c>
      <c r="E878" s="45" t="s">
        <v>42</v>
      </c>
      <c r="F878" s="43">
        <v>0.12</v>
      </c>
      <c r="G878" s="7" t="s">
        <v>106</v>
      </c>
      <c r="H878" s="51">
        <v>2.96</v>
      </c>
      <c r="I878" s="51">
        <f>+IF(F878=0%,D878*H878,0)</f>
        <v>0</v>
      </c>
      <c r="J878" s="51">
        <f>+IF(F878=12%,D878*H878,0)</f>
        <v>166.38159999999999</v>
      </c>
      <c r="K878" s="52">
        <v>0</v>
      </c>
      <c r="L878" s="53">
        <v>0</v>
      </c>
      <c r="M878" s="53">
        <f>+J878*K878</f>
        <v>0</v>
      </c>
      <c r="N878" s="53">
        <f>+(J878-M878)*F878</f>
        <v>19.965791999999997</v>
      </c>
      <c r="O878" s="53">
        <f>+J878-M878+N878</f>
        <v>186.34739199999999</v>
      </c>
      <c r="P878" s="7" t="s">
        <v>45</v>
      </c>
      <c r="Q878" s="45" t="s">
        <v>46</v>
      </c>
      <c r="R878" s="7" t="s">
        <v>45</v>
      </c>
    </row>
    <row r="879" spans="1:18" ht="30" x14ac:dyDescent="0.25">
      <c r="B879" s="2" t="s">
        <v>23</v>
      </c>
      <c r="C879" s="30" t="s">
        <v>70</v>
      </c>
      <c r="D879" s="46">
        <v>49</v>
      </c>
      <c r="E879" s="45" t="s">
        <v>43</v>
      </c>
      <c r="F879" s="43">
        <v>0.12</v>
      </c>
      <c r="G879" s="7" t="s">
        <v>108</v>
      </c>
      <c r="H879" s="51">
        <v>3.15</v>
      </c>
      <c r="I879" s="51">
        <f>+IF(F879=0%,D879*H879,0)</f>
        <v>0</v>
      </c>
      <c r="J879" s="51">
        <f>+IF(F879=12%,D879*H879,0)</f>
        <v>154.35</v>
      </c>
      <c r="K879" s="52">
        <v>0</v>
      </c>
      <c r="L879" s="53">
        <v>0</v>
      </c>
      <c r="M879" s="53">
        <f>+J879*K879</f>
        <v>0</v>
      </c>
      <c r="N879" s="53">
        <f>+(J879-M879)*F879</f>
        <v>18.521999999999998</v>
      </c>
      <c r="O879" s="53">
        <f>+J879-M879+N879</f>
        <v>172.87199999999999</v>
      </c>
      <c r="P879" s="7" t="s">
        <v>45</v>
      </c>
      <c r="Q879" s="45" t="s">
        <v>46</v>
      </c>
      <c r="R879" s="7" t="s">
        <v>45</v>
      </c>
    </row>
    <row r="880" spans="1:18" x14ac:dyDescent="0.25">
      <c r="B880" s="2" t="s">
        <v>26</v>
      </c>
      <c r="C880" s="12" t="s">
        <v>71</v>
      </c>
      <c r="D880" s="46">
        <v>12.2</v>
      </c>
      <c r="E880" s="45" t="s">
        <v>44</v>
      </c>
      <c r="F880" s="43">
        <v>0.12</v>
      </c>
      <c r="G880" s="7" t="s">
        <v>110</v>
      </c>
      <c r="H880" s="51">
        <v>1.25</v>
      </c>
      <c r="I880" s="51">
        <f>+IF(F880=0%,D880*H880,0)</f>
        <v>0</v>
      </c>
      <c r="J880" s="51">
        <f>+IF(F880=12%,D880*H880,0)</f>
        <v>15.25</v>
      </c>
      <c r="K880" s="52">
        <v>0</v>
      </c>
      <c r="L880" s="53">
        <v>0</v>
      </c>
      <c r="M880" s="53">
        <f>+J880*K880</f>
        <v>0</v>
      </c>
      <c r="N880" s="53">
        <f>+(J880-M880)*F880</f>
        <v>1.8299999999999998</v>
      </c>
      <c r="O880" s="53">
        <f>+J880-M880+N880</f>
        <v>17.079999999999998</v>
      </c>
      <c r="P880" s="7" t="s">
        <v>45</v>
      </c>
      <c r="Q880" s="45" t="s">
        <v>46</v>
      </c>
      <c r="R880" s="7" t="s">
        <v>45</v>
      </c>
    </row>
    <row r="881" spans="2:18" x14ac:dyDescent="0.25">
      <c r="B881" s="2" t="s">
        <v>27</v>
      </c>
      <c r="C881" s="3" t="s">
        <v>28</v>
      </c>
      <c r="D881" s="45">
        <v>1</v>
      </c>
      <c r="E881" t="s">
        <v>114</v>
      </c>
      <c r="F881" s="43">
        <v>0.12</v>
      </c>
      <c r="G881" t="s">
        <v>380</v>
      </c>
      <c r="H881" s="10">
        <v>250</v>
      </c>
      <c r="I881" s="10">
        <f>+IF(F881=0%,D881*H881,0)</f>
        <v>0</v>
      </c>
      <c r="J881" s="10">
        <f>+IF(F881=12%,D881*H881,0)</f>
        <v>250</v>
      </c>
      <c r="K881" s="52">
        <v>0</v>
      </c>
      <c r="L881" s="53">
        <v>0</v>
      </c>
      <c r="M881" s="53">
        <f>+J881*K881</f>
        <v>0</v>
      </c>
      <c r="N881" s="53">
        <f>+(J881-M881)*F881</f>
        <v>30</v>
      </c>
      <c r="O881" s="53">
        <f>+J881-M881+N881</f>
        <v>280</v>
      </c>
      <c r="P881" s="35" t="s">
        <v>275</v>
      </c>
      <c r="Q881" s="45" t="s">
        <v>274</v>
      </c>
      <c r="R881" s="7" t="s">
        <v>25</v>
      </c>
    </row>
    <row r="882" spans="2:18" ht="15.75" thickBot="1" x14ac:dyDescent="0.3">
      <c r="B882" s="2" t="s">
        <v>29</v>
      </c>
      <c r="C882" s="3">
        <v>1</v>
      </c>
      <c r="D882" s="46"/>
      <c r="E882" s="45"/>
      <c r="F882" s="45"/>
      <c r="G882" s="45"/>
      <c r="H882" s="10"/>
      <c r="I882" s="10"/>
      <c r="J882" s="10"/>
      <c r="K882" s="10"/>
      <c r="L882" s="45"/>
      <c r="M882" s="10"/>
      <c r="N882" s="10"/>
      <c r="O882" s="11"/>
      <c r="P882" s="45"/>
      <c r="Q882" s="45"/>
      <c r="R882" s="7"/>
    </row>
    <row r="883" spans="2:18" ht="15.75" thickBot="1" x14ac:dyDescent="0.3">
      <c r="B883" s="2" t="s">
        <v>30</v>
      </c>
      <c r="C883" s="7">
        <v>1120335551</v>
      </c>
      <c r="D883" s="16" t="s">
        <v>34</v>
      </c>
      <c r="E883" s="40">
        <f>+SUM(I877:I880)</f>
        <v>0</v>
      </c>
    </row>
    <row r="884" spans="2:18" ht="15.75" thickBot="1" x14ac:dyDescent="0.3">
      <c r="B884" s="2" t="s">
        <v>31</v>
      </c>
      <c r="C884" s="14">
        <v>43510</v>
      </c>
      <c r="D884" s="16" t="s">
        <v>36</v>
      </c>
      <c r="E884" s="17">
        <f>+SUM(J877:J882)</f>
        <v>674.4316</v>
      </c>
    </row>
    <row r="885" spans="2:18" ht="15.75" thickBot="1" x14ac:dyDescent="0.3">
      <c r="B885" s="2" t="s">
        <v>32</v>
      </c>
      <c r="C885" s="15" t="s">
        <v>33</v>
      </c>
      <c r="D885" s="16" t="s">
        <v>39</v>
      </c>
      <c r="E885" s="17">
        <f>SUM(M877:M882)</f>
        <v>0</v>
      </c>
    </row>
    <row r="886" spans="2:18" ht="15.75" thickBot="1" x14ac:dyDescent="0.3">
      <c r="B886" s="2" t="s">
        <v>35</v>
      </c>
      <c r="C886" s="15" t="s">
        <v>33</v>
      </c>
      <c r="D886" s="16" t="s">
        <v>14</v>
      </c>
      <c r="E886" s="17">
        <f>SUM(N877:N882)</f>
        <v>80.931792000000002</v>
      </c>
    </row>
    <row r="887" spans="2:18" ht="15.75" thickBot="1" x14ac:dyDescent="0.3">
      <c r="B887" s="2" t="s">
        <v>37</v>
      </c>
      <c r="C887" s="15" t="s">
        <v>365</v>
      </c>
      <c r="D887" s="16" t="s">
        <v>15</v>
      </c>
      <c r="E887" s="17">
        <f>SUM(O877:O882)</f>
        <v>755.36339199999998</v>
      </c>
    </row>
    <row r="888" spans="2:18" x14ac:dyDescent="0.25">
      <c r="B888" s="18"/>
      <c r="C888" s="18"/>
    </row>
    <row r="890" spans="2:18" x14ac:dyDescent="0.25">
      <c r="B890" s="114" t="s">
        <v>207</v>
      </c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</row>
    <row r="891" spans="2:18" x14ac:dyDescent="0.25">
      <c r="B891" s="2" t="s">
        <v>86</v>
      </c>
      <c r="C891" s="21" t="s">
        <v>87</v>
      </c>
    </row>
    <row r="892" spans="2:18" x14ac:dyDescent="0.25">
      <c r="B892" s="2" t="s">
        <v>59</v>
      </c>
      <c r="C892" s="21" t="s">
        <v>90</v>
      </c>
    </row>
    <row r="893" spans="2:18" x14ac:dyDescent="0.25">
      <c r="B893" s="2" t="s">
        <v>60</v>
      </c>
      <c r="C893" s="21" t="s">
        <v>91</v>
      </c>
      <c r="E893" s="31" t="s">
        <v>279</v>
      </c>
    </row>
    <row r="894" spans="2:18" x14ac:dyDescent="0.25">
      <c r="B894" s="2" t="s">
        <v>61</v>
      </c>
      <c r="C894" s="27">
        <f>+E887</f>
        <v>755.36339199999998</v>
      </c>
      <c r="E894" s="110" t="s">
        <v>330</v>
      </c>
    </row>
    <row r="897" spans="1:18" ht="26.25" x14ac:dyDescent="0.4">
      <c r="A897" s="34" t="s">
        <v>268</v>
      </c>
      <c r="B897" s="34" t="s">
        <v>140</v>
      </c>
      <c r="C897" s="1" t="s">
        <v>283</v>
      </c>
    </row>
    <row r="898" spans="1:18" x14ac:dyDescent="0.25">
      <c r="B898" s="112" t="s">
        <v>5</v>
      </c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</row>
    <row r="899" spans="1:18" x14ac:dyDescent="0.25">
      <c r="B899" s="2" t="s">
        <v>6</v>
      </c>
      <c r="C899" s="3" t="s">
        <v>67</v>
      </c>
      <c r="D899" s="44" t="s">
        <v>8</v>
      </c>
      <c r="E899" s="5" t="s">
        <v>9</v>
      </c>
      <c r="F899" s="5" t="s">
        <v>14</v>
      </c>
      <c r="G899" s="5" t="s">
        <v>10</v>
      </c>
      <c r="H899" s="5" t="s">
        <v>11</v>
      </c>
      <c r="I899" s="5" t="s">
        <v>148</v>
      </c>
      <c r="J899" s="5" t="s">
        <v>149</v>
      </c>
      <c r="K899" s="5" t="s">
        <v>12</v>
      </c>
      <c r="L899" s="5" t="s">
        <v>13</v>
      </c>
      <c r="M899" s="5" t="s">
        <v>40</v>
      </c>
      <c r="N899" s="5" t="s">
        <v>14</v>
      </c>
      <c r="O899" s="5" t="s">
        <v>15</v>
      </c>
      <c r="P899" s="5" t="s">
        <v>16</v>
      </c>
      <c r="Q899" s="5" t="s">
        <v>17</v>
      </c>
      <c r="R899" s="5" t="s">
        <v>18</v>
      </c>
    </row>
    <row r="900" spans="1:18" x14ac:dyDescent="0.25">
      <c r="B900" s="2" t="s">
        <v>19</v>
      </c>
      <c r="C900" s="15" t="s">
        <v>68</v>
      </c>
      <c r="D900" s="7">
        <v>118.47</v>
      </c>
      <c r="E900" s="45" t="s">
        <v>95</v>
      </c>
      <c r="F900" s="43">
        <v>0.12</v>
      </c>
      <c r="G900" s="35" t="s">
        <v>99</v>
      </c>
      <c r="H900" s="51">
        <v>1.47</v>
      </c>
      <c r="I900" s="51">
        <f>+IF(F900=0%,D900*H900,0)</f>
        <v>0</v>
      </c>
      <c r="J900" s="51">
        <f>+IF(F900=12%,D900*H900,0)</f>
        <v>174.15090000000001</v>
      </c>
      <c r="K900" s="52">
        <v>0</v>
      </c>
      <c r="L900" s="53">
        <v>0</v>
      </c>
      <c r="M900" s="53">
        <f>+J900*K900</f>
        <v>0</v>
      </c>
      <c r="N900" s="53">
        <f>+(J900-M900)*F900</f>
        <v>20.898108000000001</v>
      </c>
      <c r="O900" s="53">
        <f>+J900-M900+N900</f>
        <v>195.04900800000001</v>
      </c>
      <c r="P900" s="7" t="s">
        <v>45</v>
      </c>
      <c r="Q900" s="7" t="s">
        <v>46</v>
      </c>
      <c r="R900" s="7" t="s">
        <v>45</v>
      </c>
    </row>
    <row r="901" spans="1:18" x14ac:dyDescent="0.25">
      <c r="B901" s="2" t="s">
        <v>21</v>
      </c>
      <c r="C901" s="15" t="s">
        <v>22</v>
      </c>
      <c r="D901" s="7">
        <v>249.58</v>
      </c>
      <c r="E901" s="45" t="s">
        <v>96</v>
      </c>
      <c r="F901" s="43">
        <v>0.12</v>
      </c>
      <c r="G901" s="35" t="s">
        <v>100</v>
      </c>
      <c r="H901" s="51">
        <v>2.96</v>
      </c>
      <c r="I901" s="51">
        <f>+IF(F901=0%,D901*H901,0)</f>
        <v>0</v>
      </c>
      <c r="J901" s="51">
        <f>+IF(F901=12%,D901*H901,0)</f>
        <v>738.7568</v>
      </c>
      <c r="K901" s="52">
        <v>0</v>
      </c>
      <c r="L901" s="53">
        <v>0</v>
      </c>
      <c r="M901" s="53">
        <f>+J901*K901</f>
        <v>0</v>
      </c>
      <c r="N901" s="53">
        <f>+(J901-M901)*F901</f>
        <v>88.650815999999992</v>
      </c>
      <c r="O901" s="53">
        <f>+J901-M901+N901</f>
        <v>827.40761599999996</v>
      </c>
      <c r="P901" s="7" t="s">
        <v>45</v>
      </c>
      <c r="Q901" s="45" t="s">
        <v>46</v>
      </c>
      <c r="R901" s="7" t="s">
        <v>45</v>
      </c>
    </row>
    <row r="902" spans="1:18" ht="30" x14ac:dyDescent="0.25">
      <c r="B902" s="2" t="s">
        <v>23</v>
      </c>
      <c r="C902" s="30" t="s">
        <v>70</v>
      </c>
      <c r="D902" s="7">
        <v>73.540000000000006</v>
      </c>
      <c r="E902" s="45" t="s">
        <v>97</v>
      </c>
      <c r="F902" s="43">
        <v>0.12</v>
      </c>
      <c r="G902" s="35" t="s">
        <v>101</v>
      </c>
      <c r="H902" s="51">
        <v>3.15</v>
      </c>
      <c r="I902" s="51">
        <f>+IF(F902=0%,D902*H902,0)</f>
        <v>0</v>
      </c>
      <c r="J902" s="51">
        <f>+IF(F902=12%,D902*H902,0)</f>
        <v>231.65100000000001</v>
      </c>
      <c r="K902" s="52">
        <v>0</v>
      </c>
      <c r="L902" s="53">
        <v>0</v>
      </c>
      <c r="M902" s="53">
        <f>+J902*K902</f>
        <v>0</v>
      </c>
      <c r="N902" s="53">
        <f>+(J902-M902)*F902</f>
        <v>27.798120000000001</v>
      </c>
      <c r="O902" s="53">
        <f>+J902-M902+N902</f>
        <v>259.44911999999999</v>
      </c>
      <c r="P902" s="7" t="s">
        <v>45</v>
      </c>
      <c r="Q902" s="45" t="s">
        <v>46</v>
      </c>
      <c r="R902" s="7" t="s">
        <v>45</v>
      </c>
    </row>
    <row r="903" spans="1:18" x14ac:dyDescent="0.25">
      <c r="B903" s="2" t="s">
        <v>26</v>
      </c>
      <c r="C903" s="12" t="s">
        <v>71</v>
      </c>
      <c r="D903" s="7">
        <v>29</v>
      </c>
      <c r="E903" s="45" t="s">
        <v>98</v>
      </c>
      <c r="F903" s="43">
        <v>0.12</v>
      </c>
      <c r="G903" s="35" t="s">
        <v>102</v>
      </c>
      <c r="H903" s="51">
        <v>1.25</v>
      </c>
      <c r="I903" s="51">
        <f>+IF(F903=0%,D903*H903,0)</f>
        <v>0</v>
      </c>
      <c r="J903" s="51">
        <f>+IF(F903=12%,D903*H903,0)</f>
        <v>36.25</v>
      </c>
      <c r="K903" s="52">
        <v>0</v>
      </c>
      <c r="L903" s="53">
        <v>0</v>
      </c>
      <c r="M903" s="53">
        <f>+J903*K903</f>
        <v>0</v>
      </c>
      <c r="N903" s="53">
        <f>+(J903-M903)*F903</f>
        <v>4.3499999999999996</v>
      </c>
      <c r="O903" s="53">
        <f>+J903-M903+N903</f>
        <v>40.6</v>
      </c>
      <c r="P903" s="7" t="s">
        <v>45</v>
      </c>
      <c r="Q903" s="45" t="s">
        <v>46</v>
      </c>
      <c r="R903" s="7" t="s">
        <v>45</v>
      </c>
    </row>
    <row r="904" spans="1:18" x14ac:dyDescent="0.25">
      <c r="B904" s="2" t="s">
        <v>27</v>
      </c>
      <c r="C904" s="3" t="s">
        <v>28</v>
      </c>
      <c r="D904" s="46">
        <v>1</v>
      </c>
      <c r="E904" t="s">
        <v>127</v>
      </c>
      <c r="F904" s="43">
        <v>0.12</v>
      </c>
      <c r="G904" t="s">
        <v>381</v>
      </c>
      <c r="H904" s="51">
        <v>380</v>
      </c>
      <c r="I904" s="51">
        <f>+IF(F904=0%,D904*H904,0)</f>
        <v>0</v>
      </c>
      <c r="J904" s="51">
        <f>+IF(F904=12%,D904*H904,0)</f>
        <v>380</v>
      </c>
      <c r="K904" s="52">
        <v>0</v>
      </c>
      <c r="L904" s="53">
        <v>0</v>
      </c>
      <c r="M904" s="53">
        <f>+J904*K904</f>
        <v>0</v>
      </c>
      <c r="N904" s="53">
        <f>+(J904-M904)*F904</f>
        <v>45.6</v>
      </c>
      <c r="O904" s="53">
        <f>+J904-M904+N904</f>
        <v>425.6</v>
      </c>
      <c r="P904" s="7" t="s">
        <v>276</v>
      </c>
      <c r="Q904" s="7" t="s">
        <v>277</v>
      </c>
      <c r="R904" s="7" t="s">
        <v>25</v>
      </c>
    </row>
    <row r="905" spans="1:18" ht="15.75" thickBot="1" x14ac:dyDescent="0.3">
      <c r="B905" s="2" t="s">
        <v>29</v>
      </c>
      <c r="C905" s="3">
        <v>1</v>
      </c>
      <c r="D905" s="46"/>
      <c r="E905" s="45"/>
      <c r="F905" s="45"/>
      <c r="G905" s="45"/>
      <c r="H905" s="10"/>
      <c r="I905" s="10"/>
      <c r="J905" s="10"/>
      <c r="K905" s="10"/>
      <c r="L905" s="45"/>
      <c r="M905" s="10"/>
      <c r="N905" s="10"/>
      <c r="O905" s="11"/>
      <c r="P905" s="45"/>
      <c r="Q905" s="45"/>
      <c r="R905" s="7"/>
    </row>
    <row r="906" spans="1:18" ht="15.75" thickBot="1" x14ac:dyDescent="0.3">
      <c r="B906" s="2" t="s">
        <v>30</v>
      </c>
      <c r="C906" s="7">
        <v>1122728319</v>
      </c>
      <c r="D906" s="16" t="s">
        <v>34</v>
      </c>
      <c r="E906" s="40">
        <f>+SUM(I900:I903)</f>
        <v>0</v>
      </c>
    </row>
    <row r="907" spans="1:18" ht="15.75" thickBot="1" x14ac:dyDescent="0.3">
      <c r="B907" s="2" t="s">
        <v>31</v>
      </c>
      <c r="C907" s="14">
        <v>43510</v>
      </c>
      <c r="D907" s="16" t="s">
        <v>36</v>
      </c>
      <c r="E907" s="17">
        <f>+SUM(J900:J905)</f>
        <v>1560.8087</v>
      </c>
    </row>
    <row r="908" spans="1:18" ht="15.75" thickBot="1" x14ac:dyDescent="0.3">
      <c r="B908" s="2" t="s">
        <v>32</v>
      </c>
      <c r="C908" s="15" t="s">
        <v>33</v>
      </c>
      <c r="D908" s="16" t="s">
        <v>39</v>
      </c>
      <c r="E908" s="17">
        <f>SUM(M900:M905)</f>
        <v>0</v>
      </c>
    </row>
    <row r="909" spans="1:18" ht="15.75" thickBot="1" x14ac:dyDescent="0.3">
      <c r="B909" s="2" t="s">
        <v>35</v>
      </c>
      <c r="C909" s="15" t="s">
        <v>33</v>
      </c>
      <c r="D909" s="16" t="s">
        <v>14</v>
      </c>
      <c r="E909" s="17">
        <f>SUM(N900:N905)</f>
        <v>187.297044</v>
      </c>
    </row>
    <row r="910" spans="1:18" ht="15.75" thickBot="1" x14ac:dyDescent="0.3">
      <c r="B910" s="2" t="s">
        <v>37</v>
      </c>
      <c r="C910" s="15" t="s">
        <v>366</v>
      </c>
      <c r="D910" s="16" t="s">
        <v>15</v>
      </c>
      <c r="E910" s="17">
        <f>SUM(O900:O905)</f>
        <v>1748.105744</v>
      </c>
    </row>
    <row r="911" spans="1:18" x14ac:dyDescent="0.25">
      <c r="B911" s="18"/>
      <c r="C911" s="18"/>
    </row>
    <row r="912" spans="1:18" x14ac:dyDescent="0.25">
      <c r="B912" s="18"/>
      <c r="C912" s="18"/>
    </row>
    <row r="913" spans="1:18" x14ac:dyDescent="0.25">
      <c r="B913" s="114" t="s">
        <v>207</v>
      </c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</row>
    <row r="914" spans="1:18" x14ac:dyDescent="0.25">
      <c r="B914" s="2" t="s">
        <v>86</v>
      </c>
      <c r="C914" s="21" t="s">
        <v>143</v>
      </c>
    </row>
    <row r="915" spans="1:18" x14ac:dyDescent="0.25">
      <c r="B915" s="2" t="s">
        <v>58</v>
      </c>
      <c r="C915" s="21" t="s">
        <v>144</v>
      </c>
    </row>
    <row r="916" spans="1:18" x14ac:dyDescent="0.25">
      <c r="B916" s="2" t="s">
        <v>60</v>
      </c>
      <c r="C916" s="21" t="s">
        <v>74</v>
      </c>
      <c r="E916" s="31" t="s">
        <v>279</v>
      </c>
    </row>
    <row r="917" spans="1:18" x14ac:dyDescent="0.25">
      <c r="B917" s="2" t="s">
        <v>61</v>
      </c>
      <c r="C917" s="27">
        <f>+E910</f>
        <v>1748.105744</v>
      </c>
      <c r="E917" s="110" t="s">
        <v>330</v>
      </c>
    </row>
    <row r="920" spans="1:18" ht="26.25" x14ac:dyDescent="0.4">
      <c r="A920" s="34" t="s">
        <v>268</v>
      </c>
      <c r="B920" s="34" t="s">
        <v>142</v>
      </c>
      <c r="C920" s="1" t="s">
        <v>284</v>
      </c>
    </row>
    <row r="921" spans="1:18" x14ac:dyDescent="0.25">
      <c r="B921" s="112" t="s">
        <v>5</v>
      </c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</row>
    <row r="922" spans="1:18" x14ac:dyDescent="0.25">
      <c r="B922" s="2" t="s">
        <v>6</v>
      </c>
      <c r="C922" s="3" t="s">
        <v>67</v>
      </c>
      <c r="D922" s="44" t="s">
        <v>8</v>
      </c>
      <c r="E922" s="5" t="s">
        <v>9</v>
      </c>
      <c r="F922" s="5" t="s">
        <v>14</v>
      </c>
      <c r="G922" s="5" t="s">
        <v>10</v>
      </c>
      <c r="H922" s="5" t="s">
        <v>11</v>
      </c>
      <c r="I922" s="5" t="s">
        <v>148</v>
      </c>
      <c r="J922" s="5" t="s">
        <v>149</v>
      </c>
      <c r="K922" s="5" t="s">
        <v>12</v>
      </c>
      <c r="L922" s="5" t="s">
        <v>13</v>
      </c>
      <c r="M922" s="5" t="s">
        <v>40</v>
      </c>
      <c r="N922" s="5" t="s">
        <v>14</v>
      </c>
      <c r="O922" s="5" t="s">
        <v>15</v>
      </c>
      <c r="P922" s="5" t="s">
        <v>16</v>
      </c>
      <c r="Q922" s="5" t="s">
        <v>17</v>
      </c>
      <c r="R922" s="5" t="s">
        <v>18</v>
      </c>
    </row>
    <row r="923" spans="1:18" x14ac:dyDescent="0.25">
      <c r="B923" s="2" t="s">
        <v>19</v>
      </c>
      <c r="C923" s="15" t="s">
        <v>68</v>
      </c>
      <c r="D923" s="7">
        <v>118.47</v>
      </c>
      <c r="E923" s="45" t="s">
        <v>95</v>
      </c>
      <c r="F923" s="43">
        <v>0.12</v>
      </c>
      <c r="G923" s="35" t="s">
        <v>99</v>
      </c>
      <c r="H923" s="51">
        <v>1.47</v>
      </c>
      <c r="I923" s="51">
        <f>+IF(F923=0%,D923*H923,0)</f>
        <v>0</v>
      </c>
      <c r="J923" s="51">
        <f>+IF(F923=12%,D923*H923,0)</f>
        <v>174.15090000000001</v>
      </c>
      <c r="K923" s="52">
        <v>0</v>
      </c>
      <c r="L923" s="53">
        <v>0</v>
      </c>
      <c r="M923" s="53">
        <f>+J923*K923</f>
        <v>0</v>
      </c>
      <c r="N923" s="53">
        <f>+(J923-M923)*F923</f>
        <v>20.898108000000001</v>
      </c>
      <c r="O923" s="53">
        <f>+J923-M923+N923</f>
        <v>195.04900800000001</v>
      </c>
      <c r="P923" s="7" t="s">
        <v>45</v>
      </c>
      <c r="Q923" s="7" t="s">
        <v>46</v>
      </c>
      <c r="R923" s="7" t="s">
        <v>45</v>
      </c>
    </row>
    <row r="924" spans="1:18" x14ac:dyDescent="0.25">
      <c r="B924" s="2" t="s">
        <v>21</v>
      </c>
      <c r="C924" s="15" t="s">
        <v>22</v>
      </c>
      <c r="D924" s="7">
        <v>249.58</v>
      </c>
      <c r="E924" s="45" t="s">
        <v>96</v>
      </c>
      <c r="F924" s="43">
        <v>0.12</v>
      </c>
      <c r="G924" s="35" t="s">
        <v>100</v>
      </c>
      <c r="H924" s="51">
        <v>2.96</v>
      </c>
      <c r="I924" s="51">
        <f>+IF(F924=0%,D924*H924,0)</f>
        <v>0</v>
      </c>
      <c r="J924" s="51">
        <f>+IF(F924=12%,D924*H924,0)</f>
        <v>738.7568</v>
      </c>
      <c r="K924" s="52">
        <v>0</v>
      </c>
      <c r="L924" s="53">
        <v>0</v>
      </c>
      <c r="M924" s="53">
        <f>+J924*K924</f>
        <v>0</v>
      </c>
      <c r="N924" s="53">
        <f>+(J924-M924)*F924</f>
        <v>88.650815999999992</v>
      </c>
      <c r="O924" s="53">
        <f>+J924-M924+N924</f>
        <v>827.40761599999996</v>
      </c>
      <c r="P924" s="7" t="s">
        <v>45</v>
      </c>
      <c r="Q924" s="45" t="s">
        <v>46</v>
      </c>
      <c r="R924" s="7" t="s">
        <v>45</v>
      </c>
    </row>
    <row r="925" spans="1:18" ht="30" x14ac:dyDescent="0.25">
      <c r="B925" s="2" t="s">
        <v>23</v>
      </c>
      <c r="C925" s="30" t="s">
        <v>70</v>
      </c>
      <c r="D925" s="7">
        <v>73.540000000000006</v>
      </c>
      <c r="E925" s="45" t="s">
        <v>97</v>
      </c>
      <c r="F925" s="43">
        <v>0.12</v>
      </c>
      <c r="G925" s="35" t="s">
        <v>101</v>
      </c>
      <c r="H925" s="51">
        <v>3.15</v>
      </c>
      <c r="I925" s="51">
        <f>+IF(F925=0%,D925*H925,0)</f>
        <v>0</v>
      </c>
      <c r="J925" s="51">
        <f>+IF(F925=12%,D925*H925,0)</f>
        <v>231.65100000000001</v>
      </c>
      <c r="K925" s="52">
        <v>0</v>
      </c>
      <c r="L925" s="53">
        <v>0</v>
      </c>
      <c r="M925" s="53">
        <f>+J925*K925</f>
        <v>0</v>
      </c>
      <c r="N925" s="53">
        <f>+(J925-M925)*F925</f>
        <v>27.798120000000001</v>
      </c>
      <c r="O925" s="53">
        <f>+J925-M925+N925</f>
        <v>259.44911999999999</v>
      </c>
      <c r="P925" s="7" t="s">
        <v>45</v>
      </c>
      <c r="Q925" s="45" t="s">
        <v>46</v>
      </c>
      <c r="R925" s="7" t="s">
        <v>45</v>
      </c>
    </row>
    <row r="926" spans="1:18" x14ac:dyDescent="0.25">
      <c r="B926" s="2" t="s">
        <v>26</v>
      </c>
      <c r="C926" s="12" t="s">
        <v>71</v>
      </c>
      <c r="D926" s="7">
        <v>29</v>
      </c>
      <c r="E926" s="45" t="s">
        <v>98</v>
      </c>
      <c r="F926" s="43">
        <v>0.12</v>
      </c>
      <c r="G926" s="35" t="s">
        <v>102</v>
      </c>
      <c r="H926" s="51">
        <v>1.25</v>
      </c>
      <c r="I926" s="51">
        <f>+IF(F926=0%,D926*H926,0)</f>
        <v>0</v>
      </c>
      <c r="J926" s="51">
        <f>+IF(F926=12%,D926*H926,0)</f>
        <v>36.25</v>
      </c>
      <c r="K926" s="52">
        <v>0</v>
      </c>
      <c r="L926" s="53">
        <v>0</v>
      </c>
      <c r="M926" s="53">
        <f>+J926*K926</f>
        <v>0</v>
      </c>
      <c r="N926" s="53">
        <f>+(J926-M926)*F926</f>
        <v>4.3499999999999996</v>
      </c>
      <c r="O926" s="53">
        <f>+J926-M926+N926</f>
        <v>40.6</v>
      </c>
      <c r="P926" s="7" t="s">
        <v>45</v>
      </c>
      <c r="Q926" s="45" t="s">
        <v>46</v>
      </c>
      <c r="R926" s="7" t="s">
        <v>45</v>
      </c>
    </row>
    <row r="927" spans="1:18" x14ac:dyDescent="0.25">
      <c r="B927" s="2" t="s">
        <v>27</v>
      </c>
      <c r="C927" s="3" t="s">
        <v>28</v>
      </c>
      <c r="D927" s="46">
        <v>1</v>
      </c>
      <c r="E927" t="s">
        <v>127</v>
      </c>
      <c r="F927" s="43">
        <v>0.12</v>
      </c>
      <c r="G927" t="s">
        <v>382</v>
      </c>
      <c r="H927" s="51">
        <v>380</v>
      </c>
      <c r="I927" s="51">
        <f>+IF(F927=0%,D927*H927,0)</f>
        <v>0</v>
      </c>
      <c r="J927" s="51">
        <f>+IF(F927=12%,D927*H927,0)</f>
        <v>380</v>
      </c>
      <c r="K927" s="52">
        <v>0</v>
      </c>
      <c r="L927" s="53">
        <v>0</v>
      </c>
      <c r="M927" s="53">
        <f>+J927*K927</f>
        <v>0</v>
      </c>
      <c r="N927" s="53">
        <f>+(J927-M927)*F927</f>
        <v>45.6</v>
      </c>
      <c r="O927" s="53">
        <f>+J927-M927+N927</f>
        <v>425.6</v>
      </c>
      <c r="P927" s="7" t="s">
        <v>276</v>
      </c>
      <c r="Q927" s="7" t="s">
        <v>277</v>
      </c>
      <c r="R927" s="7" t="s">
        <v>25</v>
      </c>
    </row>
    <row r="928" spans="1:18" ht="15.75" thickBot="1" x14ac:dyDescent="0.3">
      <c r="B928" s="2" t="s">
        <v>29</v>
      </c>
      <c r="C928" s="3">
        <v>1</v>
      </c>
      <c r="D928" s="46"/>
      <c r="E928" s="45"/>
      <c r="F928" s="45"/>
      <c r="G928" s="45"/>
      <c r="H928" s="10"/>
      <c r="I928" s="10"/>
      <c r="J928" s="10"/>
      <c r="K928" s="10"/>
      <c r="L928" s="45"/>
      <c r="M928" s="10"/>
      <c r="N928" s="10"/>
      <c r="O928" s="11"/>
      <c r="P928" s="45"/>
      <c r="Q928" s="45"/>
      <c r="R928" s="7"/>
    </row>
    <row r="929" spans="2:15" ht="15.75" thickBot="1" x14ac:dyDescent="0.3">
      <c r="B929" s="2" t="s">
        <v>30</v>
      </c>
      <c r="C929" s="7">
        <v>1122728319</v>
      </c>
      <c r="D929" s="16" t="s">
        <v>34</v>
      </c>
      <c r="E929" s="40">
        <f>+SUM(I923:I926)</f>
        <v>0</v>
      </c>
    </row>
    <row r="930" spans="2:15" ht="15.75" thickBot="1" x14ac:dyDescent="0.3">
      <c r="B930" s="2" t="s">
        <v>31</v>
      </c>
      <c r="C930" s="14">
        <v>43510</v>
      </c>
      <c r="D930" s="16" t="s">
        <v>36</v>
      </c>
      <c r="E930" s="17">
        <f>+SUM(J923:J928)</f>
        <v>1560.8087</v>
      </c>
    </row>
    <row r="931" spans="2:15" ht="15.75" thickBot="1" x14ac:dyDescent="0.3">
      <c r="B931" s="2" t="s">
        <v>32</v>
      </c>
      <c r="C931" s="15" t="s">
        <v>33</v>
      </c>
      <c r="D931" s="16" t="s">
        <v>39</v>
      </c>
      <c r="E931" s="17">
        <f>SUM(M923:M928)</f>
        <v>0</v>
      </c>
    </row>
    <row r="932" spans="2:15" ht="15.75" thickBot="1" x14ac:dyDescent="0.3">
      <c r="B932" s="2" t="s">
        <v>35</v>
      </c>
      <c r="C932" s="15" t="s">
        <v>33</v>
      </c>
      <c r="D932" s="16" t="s">
        <v>14</v>
      </c>
      <c r="E932" s="17">
        <f>SUM(N923:N928)</f>
        <v>187.297044</v>
      </c>
    </row>
    <row r="933" spans="2:15" ht="15.75" thickBot="1" x14ac:dyDescent="0.3">
      <c r="B933" s="2" t="s">
        <v>37</v>
      </c>
      <c r="C933" s="15" t="s">
        <v>367</v>
      </c>
      <c r="D933" s="16" t="s">
        <v>15</v>
      </c>
      <c r="E933" s="17">
        <f>SUM(O923:O928)</f>
        <v>1748.105744</v>
      </c>
    </row>
    <row r="934" spans="2:15" x14ac:dyDescent="0.25">
      <c r="B934" s="18"/>
      <c r="C934" s="18"/>
    </row>
    <row r="936" spans="2:15" x14ac:dyDescent="0.25">
      <c r="B936" s="114" t="s">
        <v>207</v>
      </c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</row>
    <row r="937" spans="2:15" x14ac:dyDescent="0.25">
      <c r="B937" s="2" t="s">
        <v>86</v>
      </c>
      <c r="C937" s="21" t="s">
        <v>143</v>
      </c>
    </row>
    <row r="938" spans="2:15" x14ac:dyDescent="0.25">
      <c r="B938" s="2" t="s">
        <v>58</v>
      </c>
      <c r="C938" s="21" t="s">
        <v>73</v>
      </c>
    </row>
    <row r="939" spans="2:15" x14ac:dyDescent="0.25">
      <c r="B939" s="2" t="s">
        <v>60</v>
      </c>
      <c r="C939" s="21" t="s">
        <v>74</v>
      </c>
      <c r="D939" s="45" t="s">
        <v>154</v>
      </c>
      <c r="E939" s="31" t="s">
        <v>279</v>
      </c>
    </row>
    <row r="940" spans="2:15" x14ac:dyDescent="0.25">
      <c r="B940" s="2" t="s">
        <v>61</v>
      </c>
      <c r="C940" s="27">
        <f>+E933*D940</f>
        <v>524.43172319999996</v>
      </c>
      <c r="D940" s="43">
        <v>0.3</v>
      </c>
      <c r="E940" s="110" t="s">
        <v>330</v>
      </c>
    </row>
    <row r="941" spans="2:15" x14ac:dyDescent="0.25">
      <c r="B941" s="2" t="s">
        <v>60</v>
      </c>
      <c r="C941" s="21" t="s">
        <v>75</v>
      </c>
      <c r="D941" s="45" t="s">
        <v>154</v>
      </c>
    </row>
    <row r="942" spans="2:15" x14ac:dyDescent="0.25">
      <c r="B942" s="2" t="s">
        <v>61</v>
      </c>
      <c r="C942" s="27">
        <f>+E933*D942</f>
        <v>524.43172319999996</v>
      </c>
      <c r="D942" s="43">
        <v>0.3</v>
      </c>
      <c r="E942" s="28"/>
      <c r="F942" s="28"/>
      <c r="H942" s="23"/>
      <c r="I942" s="23"/>
      <c r="J942" s="24"/>
      <c r="K942" s="24"/>
      <c r="L942" s="25"/>
      <c r="M942" s="26"/>
      <c r="N942" s="22"/>
      <c r="O942" s="22"/>
    </row>
    <row r="943" spans="2:15" x14ac:dyDescent="0.25">
      <c r="B943" s="2" t="s">
        <v>58</v>
      </c>
      <c r="C943" s="21" t="s">
        <v>76</v>
      </c>
      <c r="D943" s="45"/>
    </row>
    <row r="944" spans="2:15" x14ac:dyDescent="0.25">
      <c r="B944" s="2" t="s">
        <v>60</v>
      </c>
      <c r="C944" s="21" t="s">
        <v>89</v>
      </c>
      <c r="D944" s="45" t="s">
        <v>154</v>
      </c>
    </row>
    <row r="945" spans="1:18" x14ac:dyDescent="0.25">
      <c r="B945" s="2" t="s">
        <v>61</v>
      </c>
      <c r="C945" s="27">
        <f>+E933*D945</f>
        <v>699.24229760000003</v>
      </c>
      <c r="D945" s="43">
        <v>0.4</v>
      </c>
    </row>
    <row r="946" spans="1:18" x14ac:dyDescent="0.25">
      <c r="C946" s="36"/>
    </row>
    <row r="947" spans="1:18" x14ac:dyDescent="0.25">
      <c r="C947" s="36"/>
    </row>
    <row r="948" spans="1:18" ht="26.25" x14ac:dyDescent="0.4">
      <c r="A948" s="34" t="s">
        <v>268</v>
      </c>
      <c r="B948" s="34" t="s">
        <v>145</v>
      </c>
      <c r="C948" s="1" t="s">
        <v>285</v>
      </c>
    </row>
    <row r="949" spans="1:18" x14ac:dyDescent="0.25">
      <c r="B949" s="112" t="s">
        <v>5</v>
      </c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</row>
    <row r="950" spans="1:18" x14ac:dyDescent="0.25">
      <c r="B950" s="2" t="s">
        <v>6</v>
      </c>
      <c r="C950" s="3" t="s">
        <v>67</v>
      </c>
      <c r="D950" s="44" t="s">
        <v>8</v>
      </c>
      <c r="E950" s="5" t="s">
        <v>9</v>
      </c>
      <c r="F950" s="5" t="s">
        <v>14</v>
      </c>
      <c r="G950" s="5" t="s">
        <v>10</v>
      </c>
      <c r="H950" s="5" t="s">
        <v>11</v>
      </c>
      <c r="I950" s="5" t="s">
        <v>148</v>
      </c>
      <c r="J950" s="5" t="s">
        <v>149</v>
      </c>
      <c r="K950" s="5" t="s">
        <v>12</v>
      </c>
      <c r="L950" s="5" t="s">
        <v>13</v>
      </c>
      <c r="M950" s="5" t="s">
        <v>40</v>
      </c>
      <c r="N950" s="5" t="s">
        <v>14</v>
      </c>
      <c r="O950" s="5" t="s">
        <v>15</v>
      </c>
      <c r="P950" s="5" t="s">
        <v>16</v>
      </c>
      <c r="Q950" s="5" t="s">
        <v>17</v>
      </c>
      <c r="R950" s="5" t="s">
        <v>18</v>
      </c>
    </row>
    <row r="951" spans="1:18" x14ac:dyDescent="0.25">
      <c r="B951" s="2" t="s">
        <v>19</v>
      </c>
      <c r="C951" s="15" t="s">
        <v>68</v>
      </c>
      <c r="D951" s="7">
        <v>118.47</v>
      </c>
      <c r="E951" s="45" t="s">
        <v>95</v>
      </c>
      <c r="F951" s="43">
        <v>0.12</v>
      </c>
      <c r="G951" s="35" t="s">
        <v>99</v>
      </c>
      <c r="H951" s="51">
        <v>1.47</v>
      </c>
      <c r="I951" s="51">
        <f>+IF(F951=0%,D951*H951,0)</f>
        <v>0</v>
      </c>
      <c r="J951" s="51">
        <f>+IF(F951=12%,D951*H951,0)</f>
        <v>174.15090000000001</v>
      </c>
      <c r="K951" s="52">
        <v>0</v>
      </c>
      <c r="L951" s="53">
        <v>0</v>
      </c>
      <c r="M951" s="53">
        <f>+J951*K951</f>
        <v>0</v>
      </c>
      <c r="N951" s="53">
        <f>+(J951-M951)*F951</f>
        <v>20.898108000000001</v>
      </c>
      <c r="O951" s="53">
        <f>+J951-M951+N951</f>
        <v>195.04900800000001</v>
      </c>
      <c r="P951" s="7" t="s">
        <v>45</v>
      </c>
      <c r="Q951" s="7" t="s">
        <v>46</v>
      </c>
      <c r="R951" s="7" t="s">
        <v>45</v>
      </c>
    </row>
    <row r="952" spans="1:18" x14ac:dyDescent="0.25">
      <c r="B952" s="2" t="s">
        <v>21</v>
      </c>
      <c r="C952" s="15" t="s">
        <v>22</v>
      </c>
      <c r="D952" s="7">
        <v>249.58</v>
      </c>
      <c r="E952" s="45" t="s">
        <v>96</v>
      </c>
      <c r="F952" s="43">
        <v>0.12</v>
      </c>
      <c r="G952" s="35" t="s">
        <v>100</v>
      </c>
      <c r="H952" s="51">
        <v>2.96</v>
      </c>
      <c r="I952" s="51">
        <f>+IF(F952=0%,D952*H952,0)</f>
        <v>0</v>
      </c>
      <c r="J952" s="51">
        <f>+IF(F952=12%,D952*H952,0)</f>
        <v>738.7568</v>
      </c>
      <c r="K952" s="52">
        <v>0</v>
      </c>
      <c r="L952" s="53">
        <v>0</v>
      </c>
      <c r="M952" s="53">
        <f>+J952*K952</f>
        <v>0</v>
      </c>
      <c r="N952" s="53">
        <f>+(J952-M952)*F952</f>
        <v>88.650815999999992</v>
      </c>
      <c r="O952" s="53">
        <f>+J952-M952+N952</f>
        <v>827.40761599999996</v>
      </c>
      <c r="P952" s="7" t="s">
        <v>45</v>
      </c>
      <c r="Q952" s="45" t="s">
        <v>46</v>
      </c>
      <c r="R952" s="7" t="s">
        <v>45</v>
      </c>
    </row>
    <row r="953" spans="1:18" ht="30" x14ac:dyDescent="0.25">
      <c r="B953" s="2" t="s">
        <v>23</v>
      </c>
      <c r="C953" s="30" t="s">
        <v>70</v>
      </c>
      <c r="D953" s="7">
        <v>73.540000000000006</v>
      </c>
      <c r="E953" s="45" t="s">
        <v>97</v>
      </c>
      <c r="F953" s="43">
        <v>0.12</v>
      </c>
      <c r="G953" s="35" t="s">
        <v>101</v>
      </c>
      <c r="H953" s="51">
        <v>3.15</v>
      </c>
      <c r="I953" s="51">
        <f>+IF(F953=0%,D953*H953,0)</f>
        <v>0</v>
      </c>
      <c r="J953" s="51">
        <f>+IF(F953=12%,D953*H953,0)</f>
        <v>231.65100000000001</v>
      </c>
      <c r="K953" s="52">
        <v>0</v>
      </c>
      <c r="L953" s="53">
        <v>0</v>
      </c>
      <c r="M953" s="53">
        <f>+J953*K953</f>
        <v>0</v>
      </c>
      <c r="N953" s="53">
        <f>+(J953-M953)*F953</f>
        <v>27.798120000000001</v>
      </c>
      <c r="O953" s="53">
        <f>+J953-M953+N953</f>
        <v>259.44911999999999</v>
      </c>
      <c r="P953" s="7" t="s">
        <v>45</v>
      </c>
      <c r="Q953" s="45" t="s">
        <v>46</v>
      </c>
      <c r="R953" s="7" t="s">
        <v>45</v>
      </c>
    </row>
    <row r="954" spans="1:18" x14ac:dyDescent="0.25">
      <c r="B954" s="2" t="s">
        <v>26</v>
      </c>
      <c r="C954" s="12" t="s">
        <v>71</v>
      </c>
      <c r="D954" s="7">
        <v>29</v>
      </c>
      <c r="E954" s="45" t="s">
        <v>98</v>
      </c>
      <c r="F954" s="43">
        <v>0.12</v>
      </c>
      <c r="G954" s="35" t="s">
        <v>102</v>
      </c>
      <c r="H954" s="51">
        <v>1.25</v>
      </c>
      <c r="I954" s="51">
        <f>+IF(F954=0%,D954*H954,0)</f>
        <v>0</v>
      </c>
      <c r="J954" s="51">
        <f>+IF(F954=12%,D954*H954,0)</f>
        <v>36.25</v>
      </c>
      <c r="K954" s="52">
        <v>0</v>
      </c>
      <c r="L954" s="53">
        <v>0</v>
      </c>
      <c r="M954" s="53">
        <f>+J954*K954</f>
        <v>0</v>
      </c>
      <c r="N954" s="53">
        <f>+(J954-M954)*F954</f>
        <v>4.3499999999999996</v>
      </c>
      <c r="O954" s="53">
        <f>+J954-M954+N954</f>
        <v>40.6</v>
      </c>
      <c r="P954" s="7" t="s">
        <v>45</v>
      </c>
      <c r="Q954" s="45" t="s">
        <v>46</v>
      </c>
      <c r="R954" s="7" t="s">
        <v>45</v>
      </c>
    </row>
    <row r="955" spans="1:18" x14ac:dyDescent="0.25">
      <c r="B955" s="2" t="s">
        <v>27</v>
      </c>
      <c r="C955" s="3" t="s">
        <v>28</v>
      </c>
      <c r="D955" s="46">
        <v>1</v>
      </c>
      <c r="E955" t="s">
        <v>127</v>
      </c>
      <c r="F955" s="43">
        <v>0.12</v>
      </c>
      <c r="G955" t="s">
        <v>361</v>
      </c>
      <c r="H955" s="51">
        <v>380</v>
      </c>
      <c r="I955" s="51">
        <f>+IF(F955=0%,D955*H955,0)</f>
        <v>0</v>
      </c>
      <c r="J955" s="51">
        <f>+IF(F955=12%,D955*H955,0)</f>
        <v>380</v>
      </c>
      <c r="K955" s="52">
        <v>0</v>
      </c>
      <c r="L955" s="53">
        <v>0</v>
      </c>
      <c r="M955" s="53">
        <f>+J955*K955</f>
        <v>0</v>
      </c>
      <c r="N955" s="53">
        <f>+(J955-M955)*F955</f>
        <v>45.6</v>
      </c>
      <c r="O955" s="53">
        <f>+J955-M955+N955</f>
        <v>425.6</v>
      </c>
      <c r="P955" s="7" t="s">
        <v>276</v>
      </c>
      <c r="Q955" s="7" t="s">
        <v>277</v>
      </c>
      <c r="R955" s="7" t="s">
        <v>25</v>
      </c>
    </row>
    <row r="956" spans="1:18" ht="15.75" thickBot="1" x14ac:dyDescent="0.3">
      <c r="B956" s="2" t="s">
        <v>29</v>
      </c>
      <c r="C956" s="3">
        <v>1</v>
      </c>
      <c r="D956" s="46"/>
      <c r="E956" s="45"/>
      <c r="F956" s="45"/>
      <c r="G956" s="45"/>
      <c r="H956" s="10"/>
      <c r="I956" s="10"/>
      <c r="J956" s="10"/>
      <c r="K956" s="10"/>
      <c r="L956" s="45"/>
      <c r="M956" s="10"/>
      <c r="N956" s="10"/>
      <c r="O956" s="11"/>
      <c r="P956" s="45"/>
      <c r="Q956" s="45"/>
      <c r="R956" s="7"/>
    </row>
    <row r="957" spans="1:18" ht="15.75" thickBot="1" x14ac:dyDescent="0.3">
      <c r="B957" s="2" t="s">
        <v>30</v>
      </c>
      <c r="C957" s="7">
        <v>1122728319</v>
      </c>
      <c r="D957" s="16" t="s">
        <v>34</v>
      </c>
      <c r="E957" s="40">
        <f>+SUM(I951:I954)</f>
        <v>0</v>
      </c>
    </row>
    <row r="958" spans="1:18" ht="15.75" thickBot="1" x14ac:dyDescent="0.3">
      <c r="B958" s="2" t="s">
        <v>31</v>
      </c>
      <c r="C958" s="14">
        <v>43510</v>
      </c>
      <c r="D958" s="16" t="s">
        <v>36</v>
      </c>
      <c r="E958" s="17">
        <f>+SUM(J951:J956)</f>
        <v>1560.8087</v>
      </c>
    </row>
    <row r="959" spans="1:18" ht="15.75" thickBot="1" x14ac:dyDescent="0.3">
      <c r="B959" s="2" t="s">
        <v>32</v>
      </c>
      <c r="C959" s="15" t="s">
        <v>33</v>
      </c>
      <c r="D959" s="16" t="s">
        <v>39</v>
      </c>
      <c r="E959" s="17">
        <f>SUM(M951:M956)</f>
        <v>0</v>
      </c>
    </row>
    <row r="960" spans="1:18" ht="15.75" thickBot="1" x14ac:dyDescent="0.3">
      <c r="B960" s="2" t="s">
        <v>35</v>
      </c>
      <c r="C960" s="15" t="s">
        <v>33</v>
      </c>
      <c r="D960" s="16" t="s">
        <v>14</v>
      </c>
      <c r="E960" s="17">
        <f>SUM(N951:N956)</f>
        <v>187.297044</v>
      </c>
    </row>
    <row r="961" spans="1:18" ht="15.75" thickBot="1" x14ac:dyDescent="0.3">
      <c r="B961" s="2" t="s">
        <v>37</v>
      </c>
      <c r="C961" s="15" t="s">
        <v>368</v>
      </c>
      <c r="D961" s="16" t="s">
        <v>15</v>
      </c>
      <c r="E961" s="17">
        <f>SUM(O951:O956)</f>
        <v>1748.105744</v>
      </c>
    </row>
    <row r="962" spans="1:18" x14ac:dyDescent="0.25">
      <c r="B962" s="18"/>
      <c r="C962" s="18"/>
    </row>
    <row r="964" spans="1:18" x14ac:dyDescent="0.25">
      <c r="B964" s="114" t="s">
        <v>207</v>
      </c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</row>
    <row r="965" spans="1:18" x14ac:dyDescent="0.25">
      <c r="B965" s="2" t="s">
        <v>86</v>
      </c>
      <c r="C965" s="21" t="s">
        <v>143</v>
      </c>
    </row>
    <row r="966" spans="1:18" x14ac:dyDescent="0.25">
      <c r="B966" s="2" t="s">
        <v>58</v>
      </c>
      <c r="C966" s="21" t="s">
        <v>73</v>
      </c>
      <c r="E966" s="31" t="s">
        <v>279</v>
      </c>
    </row>
    <row r="967" spans="1:18" x14ac:dyDescent="0.25">
      <c r="B967" s="2" t="s">
        <v>60</v>
      </c>
      <c r="C967" s="21" t="s">
        <v>74</v>
      </c>
      <c r="D967" s="45" t="s">
        <v>154</v>
      </c>
      <c r="E967" s="110" t="s">
        <v>330</v>
      </c>
    </row>
    <row r="968" spans="1:18" x14ac:dyDescent="0.25">
      <c r="B968" s="2" t="s">
        <v>61</v>
      </c>
      <c r="C968" s="27">
        <f>+E961*D968</f>
        <v>1048.8634463999999</v>
      </c>
      <c r="D968" s="43">
        <v>0.6</v>
      </c>
    </row>
    <row r="969" spans="1:18" x14ac:dyDescent="0.25">
      <c r="B969" s="2" t="s">
        <v>147</v>
      </c>
      <c r="C969" s="21" t="s">
        <v>84</v>
      </c>
    </row>
    <row r="970" spans="1:18" x14ac:dyDescent="0.25">
      <c r="B970" s="2" t="s">
        <v>60</v>
      </c>
      <c r="C970" s="21" t="s">
        <v>85</v>
      </c>
      <c r="D970" s="45" t="s">
        <v>154</v>
      </c>
    </row>
    <row r="971" spans="1:18" x14ac:dyDescent="0.25">
      <c r="B971" s="2" t="s">
        <v>61</v>
      </c>
      <c r="C971" s="27">
        <f>+E961*D971</f>
        <v>699.24229760000003</v>
      </c>
      <c r="D971" s="43">
        <v>0.4</v>
      </c>
    </row>
    <row r="973" spans="1:18" s="71" customFormat="1" x14ac:dyDescent="0.25"/>
    <row r="974" spans="1:18" ht="26.25" x14ac:dyDescent="0.25">
      <c r="A974" s="78" t="s">
        <v>302</v>
      </c>
      <c r="B974" s="78" t="s">
        <v>92</v>
      </c>
      <c r="C974" s="79" t="s">
        <v>303</v>
      </c>
      <c r="D974" s="137" t="s">
        <v>304</v>
      </c>
      <c r="E974" s="137"/>
      <c r="F974" s="137"/>
    </row>
    <row r="975" spans="1:18" x14ac:dyDescent="0.25">
      <c r="B975" s="112" t="s">
        <v>5</v>
      </c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</row>
    <row r="976" spans="1:18" x14ac:dyDescent="0.25">
      <c r="B976" s="2" t="s">
        <v>6</v>
      </c>
      <c r="C976" s="3" t="s">
        <v>7</v>
      </c>
      <c r="D976" s="44" t="s">
        <v>8</v>
      </c>
      <c r="E976" s="5" t="s">
        <v>9</v>
      </c>
      <c r="F976" s="5" t="s">
        <v>14</v>
      </c>
      <c r="G976" s="5" t="s">
        <v>10</v>
      </c>
      <c r="H976" s="5" t="s">
        <v>11</v>
      </c>
      <c r="I976" s="5" t="s">
        <v>148</v>
      </c>
      <c r="J976" s="5" t="s">
        <v>149</v>
      </c>
      <c r="K976" s="5" t="s">
        <v>12</v>
      </c>
      <c r="L976" s="5" t="s">
        <v>13</v>
      </c>
      <c r="M976" s="5" t="s">
        <v>40</v>
      </c>
      <c r="N976" s="5" t="s">
        <v>14</v>
      </c>
      <c r="O976" s="5" t="s">
        <v>15</v>
      </c>
      <c r="P976" s="5" t="s">
        <v>16</v>
      </c>
      <c r="Q976" s="5" t="s">
        <v>17</v>
      </c>
      <c r="R976" s="5" t="s">
        <v>18</v>
      </c>
    </row>
    <row r="977" spans="2:18" x14ac:dyDescent="0.25">
      <c r="B977" s="2" t="s">
        <v>19</v>
      </c>
      <c r="C977" s="6" t="s">
        <v>20</v>
      </c>
      <c r="D977" s="45">
        <v>48.26</v>
      </c>
      <c r="E977" s="45" t="s">
        <v>107</v>
      </c>
      <c r="F977" s="43">
        <v>0.12</v>
      </c>
      <c r="G977" s="35" t="s">
        <v>108</v>
      </c>
      <c r="H977" s="51">
        <v>1.26</v>
      </c>
      <c r="I977" s="51">
        <f>+IF(F977=0%,D977*H977,0)</f>
        <v>0</v>
      </c>
      <c r="J977" s="51">
        <f>+IF(F977=12%,D977*H977,0)</f>
        <v>60.807600000000001</v>
      </c>
      <c r="K977" s="81">
        <v>0.28539999999999999</v>
      </c>
      <c r="L977" s="53">
        <v>0</v>
      </c>
      <c r="M977" s="53">
        <f>+J977*K977</f>
        <v>17.354489040000001</v>
      </c>
      <c r="N977" s="53">
        <f>+(J977-M977)*F977</f>
        <v>5.2143733152000005</v>
      </c>
      <c r="O977" s="53">
        <f>+J977-M977+N977</f>
        <v>48.667484275200003</v>
      </c>
      <c r="P977" s="7" t="s">
        <v>45</v>
      </c>
      <c r="Q977" s="7" t="s">
        <v>46</v>
      </c>
      <c r="R977" s="7" t="s">
        <v>45</v>
      </c>
    </row>
    <row r="978" spans="2:18" x14ac:dyDescent="0.25">
      <c r="B978" s="2" t="s">
        <v>21</v>
      </c>
      <c r="C978" s="15" t="s">
        <v>22</v>
      </c>
      <c r="D978" s="45">
        <v>356.48</v>
      </c>
      <c r="E978" s="45" t="s">
        <v>109</v>
      </c>
      <c r="F978" s="43">
        <v>0.12</v>
      </c>
      <c r="G978" s="35" t="s">
        <v>110</v>
      </c>
      <c r="H978" s="51">
        <v>0.98</v>
      </c>
      <c r="I978" s="51">
        <f t="shared" ref="I978:I983" si="0">+IF(F978=0%,D978*H978,0)</f>
        <v>0</v>
      </c>
      <c r="J978" s="51">
        <f t="shared" ref="J978:J983" si="1">+IF(F978=12%,D978*H978,0)</f>
        <v>349.35040000000004</v>
      </c>
      <c r="K978" s="81">
        <v>0</v>
      </c>
      <c r="L978" s="53">
        <v>0</v>
      </c>
      <c r="M978" s="53">
        <f>+J978*K978</f>
        <v>0</v>
      </c>
      <c r="N978" s="53">
        <f>+(J978-M978)*F978</f>
        <v>41.922048000000004</v>
      </c>
      <c r="O978" s="53">
        <f>+J978-M978+N978</f>
        <v>391.27244800000005</v>
      </c>
      <c r="P978" s="7" t="s">
        <v>45</v>
      </c>
      <c r="Q978" s="45" t="s">
        <v>46</v>
      </c>
      <c r="R978" s="7" t="s">
        <v>45</v>
      </c>
    </row>
    <row r="979" spans="2:18" ht="30" x14ac:dyDescent="0.25">
      <c r="B979" s="2" t="s">
        <v>23</v>
      </c>
      <c r="C979" s="8" t="s">
        <v>70</v>
      </c>
      <c r="D979" s="45">
        <v>277.83</v>
      </c>
      <c r="E979" s="45" t="s">
        <v>111</v>
      </c>
      <c r="F979" s="43">
        <v>0.12</v>
      </c>
      <c r="G979" s="35" t="s">
        <v>112</v>
      </c>
      <c r="H979" s="51">
        <v>1.25</v>
      </c>
      <c r="I979" s="51">
        <f t="shared" si="0"/>
        <v>0</v>
      </c>
      <c r="J979" s="51">
        <f t="shared" si="1"/>
        <v>347.28749999999997</v>
      </c>
      <c r="K979" s="81">
        <v>0.35260000000000002</v>
      </c>
      <c r="L979" s="53">
        <v>0</v>
      </c>
      <c r="M979" s="53">
        <f>+J979*K979</f>
        <v>122.45357249999999</v>
      </c>
      <c r="N979" s="53">
        <f>+(J979-M979)*F979</f>
        <v>26.980071299999995</v>
      </c>
      <c r="O979" s="53">
        <f>+J979-M979+N979</f>
        <v>251.81399879999995</v>
      </c>
      <c r="P979" s="7" t="s">
        <v>45</v>
      </c>
      <c r="Q979" s="45" t="s">
        <v>46</v>
      </c>
      <c r="R979" s="7" t="s">
        <v>45</v>
      </c>
    </row>
    <row r="980" spans="2:18" x14ac:dyDescent="0.25">
      <c r="B980" s="2" t="s">
        <v>26</v>
      </c>
      <c r="C980" s="12" t="s">
        <v>71</v>
      </c>
      <c r="D980" s="45">
        <v>1925.36</v>
      </c>
      <c r="E980" s="45" t="s">
        <v>287</v>
      </c>
      <c r="F980" s="43">
        <v>0</v>
      </c>
      <c r="G980" s="35" t="s">
        <v>292</v>
      </c>
      <c r="H980" s="51">
        <v>0.87</v>
      </c>
      <c r="I980" s="51">
        <f t="shared" si="0"/>
        <v>1675.0631999999998</v>
      </c>
      <c r="J980" s="51">
        <f t="shared" si="1"/>
        <v>0</v>
      </c>
      <c r="K980" s="81">
        <v>0</v>
      </c>
      <c r="L980" s="53">
        <v>0</v>
      </c>
      <c r="M980" s="53">
        <f>+I980*K980</f>
        <v>0</v>
      </c>
      <c r="N980" s="53">
        <f>+(I980-M980)*F980</f>
        <v>0</v>
      </c>
      <c r="O980" s="53">
        <f>+I980-M980</f>
        <v>1675.0631999999998</v>
      </c>
      <c r="P980" s="7" t="s">
        <v>45</v>
      </c>
      <c r="Q980" s="45" t="s">
        <v>46</v>
      </c>
      <c r="R980" s="7" t="s">
        <v>45</v>
      </c>
    </row>
    <row r="981" spans="2:18" x14ac:dyDescent="0.25">
      <c r="B981" s="2" t="s">
        <v>27</v>
      </c>
      <c r="C981" s="3" t="s">
        <v>28</v>
      </c>
      <c r="D981" s="45">
        <v>14.26</v>
      </c>
      <c r="E981" s="45" t="s">
        <v>288</v>
      </c>
      <c r="F981" s="43">
        <v>0</v>
      </c>
      <c r="G981" s="35" t="s">
        <v>293</v>
      </c>
      <c r="H981" s="10">
        <v>7.86</v>
      </c>
      <c r="I981" s="10">
        <f t="shared" si="0"/>
        <v>112.0836</v>
      </c>
      <c r="J981" s="10">
        <f t="shared" si="1"/>
        <v>0</v>
      </c>
      <c r="K981" s="81">
        <v>0.28770000000000001</v>
      </c>
      <c r="L981" s="53">
        <v>0</v>
      </c>
      <c r="M981" s="53">
        <f>+I981*K981</f>
        <v>32.246451720000003</v>
      </c>
      <c r="N981" s="53">
        <f>+(I981-M981)*F981</f>
        <v>0</v>
      </c>
      <c r="O981" s="53">
        <f>+I981-M981</f>
        <v>79.837148280000008</v>
      </c>
      <c r="P981" s="7" t="s">
        <v>45</v>
      </c>
      <c r="Q981" s="45" t="s">
        <v>46</v>
      </c>
      <c r="R981" s="7" t="s">
        <v>45</v>
      </c>
    </row>
    <row r="982" spans="2:18" x14ac:dyDescent="0.25">
      <c r="B982" s="2" t="s">
        <v>29</v>
      </c>
      <c r="C982" s="3">
        <v>1</v>
      </c>
      <c r="D982" s="45">
        <v>787.59</v>
      </c>
      <c r="E982" s="45" t="s">
        <v>289</v>
      </c>
      <c r="F982" s="43">
        <v>0</v>
      </c>
      <c r="G982" s="35" t="s">
        <v>294</v>
      </c>
      <c r="H982" s="10">
        <v>2.14</v>
      </c>
      <c r="I982" s="10">
        <f t="shared" si="0"/>
        <v>1685.4426000000001</v>
      </c>
      <c r="J982" s="10">
        <f t="shared" si="1"/>
        <v>0</v>
      </c>
      <c r="K982" s="81">
        <v>2.3E-3</v>
      </c>
      <c r="L982" s="53">
        <v>0</v>
      </c>
      <c r="M982" s="53">
        <f>+I982*K982</f>
        <v>3.87651798</v>
      </c>
      <c r="N982" s="53">
        <f>+(I982-M982)*F982</f>
        <v>0</v>
      </c>
      <c r="O982" s="53">
        <f>+I982-M982</f>
        <v>1681.5660820200001</v>
      </c>
      <c r="P982" s="7" t="s">
        <v>45</v>
      </c>
      <c r="Q982" s="45" t="s">
        <v>46</v>
      </c>
      <c r="R982" s="7" t="s">
        <v>45</v>
      </c>
    </row>
    <row r="983" spans="2:18" x14ac:dyDescent="0.25">
      <c r="B983" s="2" t="s">
        <v>30</v>
      </c>
      <c r="C983" s="7">
        <v>1120335551</v>
      </c>
      <c r="D983" s="80">
        <v>1</v>
      </c>
      <c r="E983" s="45" t="s">
        <v>114</v>
      </c>
      <c r="F983" s="43">
        <v>0.12</v>
      </c>
      <c r="G983" s="45" t="s">
        <v>115</v>
      </c>
      <c r="H983" s="10">
        <v>240</v>
      </c>
      <c r="I983" s="10">
        <f t="shared" si="0"/>
        <v>0</v>
      </c>
      <c r="J983" s="10">
        <f t="shared" si="1"/>
        <v>240</v>
      </c>
      <c r="K983" s="82">
        <v>0.05</v>
      </c>
      <c r="L983" s="53">
        <v>0</v>
      </c>
      <c r="M983" s="53">
        <f>+J983*K983</f>
        <v>12</v>
      </c>
      <c r="N983" s="53">
        <f>+(J983-M983)*F983</f>
        <v>27.36</v>
      </c>
      <c r="O983" s="53">
        <f>+J983-M983+N983</f>
        <v>255.36</v>
      </c>
      <c r="P983" s="35" t="s">
        <v>275</v>
      </c>
      <c r="Q983" s="45" t="s">
        <v>274</v>
      </c>
      <c r="R983" s="7" t="s">
        <v>25</v>
      </c>
    </row>
    <row r="984" spans="2:18" ht="15" customHeight="1" thickBot="1" x14ac:dyDescent="0.3">
      <c r="B984" s="2" t="s">
        <v>31</v>
      </c>
      <c r="C984" s="14">
        <v>43511</v>
      </c>
      <c r="D984" s="39" t="s">
        <v>148</v>
      </c>
      <c r="E984" s="49">
        <f>+SUM(I977:I983)</f>
        <v>3472.5893999999998</v>
      </c>
      <c r="G984" s="23"/>
      <c r="H984" s="41"/>
      <c r="I984" s="41"/>
      <c r="J984" s="41"/>
      <c r="K984" s="130" t="s">
        <v>305</v>
      </c>
      <c r="L984" s="23"/>
      <c r="M984" s="41"/>
      <c r="N984" s="41"/>
      <c r="O984" s="42"/>
      <c r="P984" s="23"/>
      <c r="Q984" s="23"/>
      <c r="R984" s="22"/>
    </row>
    <row r="985" spans="2:18" ht="15.75" thickBot="1" x14ac:dyDescent="0.3">
      <c r="B985" s="2" t="s">
        <v>32</v>
      </c>
      <c r="C985" s="15" t="s">
        <v>33</v>
      </c>
      <c r="D985" s="16" t="s">
        <v>36</v>
      </c>
      <c r="E985" s="50">
        <f>+SUM(J977:J983)</f>
        <v>997.44550000000004</v>
      </c>
      <c r="K985" s="130"/>
    </row>
    <row r="986" spans="2:18" ht="15.75" thickBot="1" x14ac:dyDescent="0.3">
      <c r="B986" s="2" t="s">
        <v>35</v>
      </c>
      <c r="C986" s="15" t="s">
        <v>33</v>
      </c>
      <c r="D986" s="16" t="s">
        <v>39</v>
      </c>
      <c r="E986" s="50">
        <f>SUM(M977:M983)</f>
        <v>187.93103123999998</v>
      </c>
      <c r="K986" s="130"/>
      <c r="M986" s="77"/>
    </row>
    <row r="987" spans="2:18" ht="15.75" thickBot="1" x14ac:dyDescent="0.3">
      <c r="B987" s="2" t="s">
        <v>37</v>
      </c>
      <c r="C987" s="15" t="s">
        <v>369</v>
      </c>
      <c r="D987" s="16" t="s">
        <v>14</v>
      </c>
      <c r="E987" s="50">
        <f>SUM(N977:N983)</f>
        <v>101.4764926152</v>
      </c>
      <c r="K987" s="130"/>
    </row>
    <row r="988" spans="2:18" ht="15.75" thickBot="1" x14ac:dyDescent="0.3">
      <c r="B988" s="18"/>
      <c r="C988" s="18"/>
      <c r="D988" s="16" t="s">
        <v>15</v>
      </c>
      <c r="E988" s="50">
        <f>SUM(O977:O983)</f>
        <v>4383.5803613751996</v>
      </c>
      <c r="K988" s="130"/>
    </row>
    <row r="989" spans="2:18" x14ac:dyDescent="0.25">
      <c r="B989" s="18"/>
      <c r="C989" s="18"/>
    </row>
    <row r="990" spans="2:18" x14ac:dyDescent="0.25">
      <c r="B990" s="18"/>
      <c r="C990" s="18"/>
    </row>
    <row r="991" spans="2:18" x14ac:dyDescent="0.25">
      <c r="B991" s="114" t="s">
        <v>47</v>
      </c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</row>
    <row r="992" spans="2:18" x14ac:dyDescent="0.25">
      <c r="B992" s="2" t="s">
        <v>48</v>
      </c>
      <c r="C992" s="15" t="s">
        <v>33</v>
      </c>
      <c r="D992" s="19" t="s">
        <v>16</v>
      </c>
      <c r="E992" s="115" t="s">
        <v>152</v>
      </c>
      <c r="F992" s="116"/>
      <c r="G992" s="47" t="s">
        <v>150</v>
      </c>
      <c r="H992" s="117" t="s">
        <v>49</v>
      </c>
      <c r="I992" s="118"/>
      <c r="J992" s="117" t="s">
        <v>151</v>
      </c>
      <c r="K992" s="118"/>
      <c r="L992" s="5" t="s">
        <v>50</v>
      </c>
      <c r="M992" s="5" t="s">
        <v>51</v>
      </c>
      <c r="N992" s="117" t="s">
        <v>155</v>
      </c>
      <c r="O992" s="118"/>
    </row>
    <row r="993" spans="1:18" x14ac:dyDescent="0.25">
      <c r="B993" s="2" t="s">
        <v>52</v>
      </c>
      <c r="C993" s="15" t="s">
        <v>33</v>
      </c>
      <c r="D993" s="45" t="s">
        <v>166</v>
      </c>
      <c r="E993" s="119" t="s">
        <v>167</v>
      </c>
      <c r="F993" s="119"/>
      <c r="G993" s="48">
        <v>731</v>
      </c>
      <c r="H993" s="120" t="s">
        <v>14</v>
      </c>
      <c r="I993" s="121"/>
      <c r="J993" s="122">
        <v>1</v>
      </c>
      <c r="K993" s="123"/>
      <c r="L993" s="54">
        <f>+E987*J993</f>
        <v>101.4764926152</v>
      </c>
      <c r="M993" s="131">
        <f>+L993+L994</f>
        <v>144.2975313028</v>
      </c>
      <c r="N993" s="133">
        <f>+E988-M993</f>
        <v>4239.2828300723995</v>
      </c>
      <c r="O993" s="134"/>
    </row>
    <row r="994" spans="1:18" x14ac:dyDescent="0.25">
      <c r="B994" s="2" t="s">
        <v>53</v>
      </c>
      <c r="C994" s="15" t="s">
        <v>162</v>
      </c>
      <c r="D994" s="45" t="s">
        <v>165</v>
      </c>
      <c r="E994" s="119" t="s">
        <v>168</v>
      </c>
      <c r="F994" s="119"/>
      <c r="G994" s="48">
        <v>309</v>
      </c>
      <c r="H994" s="120" t="s">
        <v>153</v>
      </c>
      <c r="I994" s="121"/>
      <c r="J994" s="122">
        <v>0.01</v>
      </c>
      <c r="K994" s="123"/>
      <c r="L994" s="54">
        <f>(E985+E984-E986)*J994</f>
        <v>42.821038687599994</v>
      </c>
      <c r="M994" s="132"/>
      <c r="N994" s="135"/>
      <c r="O994" s="136"/>
    </row>
    <row r="995" spans="1:18" x14ac:dyDescent="0.25">
      <c r="B995" s="2" t="s">
        <v>55</v>
      </c>
      <c r="C995" s="3" t="str">
        <f>+CONCATENATE(C985,"-",C986,"-",C987)</f>
        <v>001-001-132</v>
      </c>
    </row>
    <row r="996" spans="1:18" x14ac:dyDescent="0.25">
      <c r="B996" s="2" t="s">
        <v>57</v>
      </c>
      <c r="C996" s="21">
        <f>+C984</f>
        <v>43511</v>
      </c>
    </row>
    <row r="997" spans="1:18" x14ac:dyDescent="0.25">
      <c r="B997" s="2" t="s">
        <v>86</v>
      </c>
      <c r="C997" s="21" t="s">
        <v>87</v>
      </c>
      <c r="D997" s="22"/>
      <c r="E997" s="28" t="s">
        <v>279</v>
      </c>
      <c r="F997" s="23"/>
      <c r="H997" s="23"/>
      <c r="I997" s="23"/>
      <c r="J997" s="24"/>
      <c r="K997" s="24"/>
      <c r="L997" s="25"/>
      <c r="M997" s="26"/>
      <c r="N997" s="22"/>
      <c r="O997" s="22"/>
    </row>
    <row r="998" spans="1:18" x14ac:dyDescent="0.25">
      <c r="B998" s="2" t="s">
        <v>59</v>
      </c>
      <c r="C998" s="21" t="s">
        <v>84</v>
      </c>
      <c r="D998" s="22"/>
      <c r="E998" s="23"/>
      <c r="F998" s="23"/>
      <c r="H998" s="23"/>
      <c r="I998" s="23"/>
      <c r="J998" s="24"/>
      <c r="K998" s="24"/>
      <c r="L998" s="25"/>
      <c r="M998" s="26"/>
      <c r="N998" s="22"/>
      <c r="O998" s="22"/>
    </row>
    <row r="999" spans="1:18" x14ac:dyDescent="0.25">
      <c r="B999" s="2" t="s">
        <v>60</v>
      </c>
      <c r="C999" s="21" t="s">
        <v>85</v>
      </c>
      <c r="D999" s="22"/>
      <c r="E999" s="23"/>
      <c r="F999" s="23"/>
      <c r="H999" s="23"/>
      <c r="I999" s="23"/>
      <c r="J999" s="24"/>
      <c r="K999" s="24"/>
      <c r="L999" s="25"/>
      <c r="M999" s="26"/>
      <c r="N999" s="22"/>
      <c r="O999" s="22"/>
    </row>
    <row r="1000" spans="1:18" x14ac:dyDescent="0.25">
      <c r="B1000" s="2" t="s">
        <v>61</v>
      </c>
      <c r="C1000" s="27">
        <f>+E988-M993</f>
        <v>4239.2828300723995</v>
      </c>
      <c r="D1000" s="22"/>
      <c r="E1000" s="28"/>
      <c r="G1000" s="23"/>
      <c r="H1000" s="24"/>
      <c r="I1000" s="24"/>
      <c r="J1000" s="24"/>
      <c r="K1000" s="25"/>
      <c r="L1000" s="26"/>
      <c r="M1000" s="22"/>
      <c r="N1000" s="22"/>
    </row>
    <row r="1003" spans="1:18" ht="26.25" x14ac:dyDescent="0.25">
      <c r="A1003" s="78" t="s">
        <v>302</v>
      </c>
      <c r="B1003" s="78" t="s">
        <v>308</v>
      </c>
      <c r="C1003" s="79" t="s">
        <v>306</v>
      </c>
      <c r="D1003" s="137" t="s">
        <v>304</v>
      </c>
      <c r="E1003" s="137"/>
      <c r="F1003" s="137"/>
    </row>
    <row r="1004" spans="1:18" x14ac:dyDescent="0.25">
      <c r="B1004" s="112" t="s">
        <v>5</v>
      </c>
      <c r="C1004" s="113"/>
      <c r="D1004" s="113"/>
      <c r="E1004" s="113"/>
      <c r="F1004" s="113"/>
      <c r="G1004" s="113"/>
      <c r="H1004" s="113"/>
      <c r="I1004" s="113"/>
      <c r="J1004" s="113"/>
      <c r="K1004" s="113"/>
      <c r="L1004" s="113"/>
      <c r="M1004" s="113"/>
      <c r="N1004" s="113"/>
      <c r="O1004" s="113"/>
      <c r="P1004" s="113"/>
      <c r="Q1004" s="113"/>
      <c r="R1004" s="113"/>
    </row>
    <row r="1005" spans="1:18" x14ac:dyDescent="0.25">
      <c r="B1005" s="2" t="s">
        <v>6</v>
      </c>
      <c r="C1005" s="3" t="s">
        <v>7</v>
      </c>
      <c r="D1005" s="44" t="s">
        <v>8</v>
      </c>
      <c r="E1005" s="5" t="s">
        <v>9</v>
      </c>
      <c r="F1005" s="5" t="s">
        <v>14</v>
      </c>
      <c r="G1005" s="5" t="s">
        <v>10</v>
      </c>
      <c r="H1005" s="5" t="s">
        <v>11</v>
      </c>
      <c r="I1005" s="5" t="s">
        <v>148</v>
      </c>
      <c r="J1005" s="5" t="s">
        <v>149</v>
      </c>
      <c r="K1005" s="5" t="s">
        <v>12</v>
      </c>
      <c r="L1005" s="5" t="s">
        <v>13</v>
      </c>
      <c r="M1005" s="5" t="s">
        <v>40</v>
      </c>
      <c r="N1005" s="5" t="s">
        <v>14</v>
      </c>
      <c r="O1005" s="5" t="s">
        <v>15</v>
      </c>
      <c r="P1005" s="5" t="s">
        <v>16</v>
      </c>
      <c r="Q1005" s="5" t="s">
        <v>17</v>
      </c>
      <c r="R1005" s="5" t="s">
        <v>18</v>
      </c>
    </row>
    <row r="1006" spans="1:18" x14ac:dyDescent="0.25">
      <c r="B1006" s="2" t="s">
        <v>19</v>
      </c>
      <c r="C1006" s="6" t="s">
        <v>20</v>
      </c>
      <c r="D1006" s="45">
        <v>48.26</v>
      </c>
      <c r="E1006" s="45" t="s">
        <v>107</v>
      </c>
      <c r="F1006" s="43">
        <v>0.12</v>
      </c>
      <c r="G1006" s="35" t="s">
        <v>108</v>
      </c>
      <c r="H1006" s="51">
        <v>1.26</v>
      </c>
      <c r="I1006" s="51">
        <f>+IF(F1006=0%,D1006*H1006,0)</f>
        <v>0</v>
      </c>
      <c r="J1006" s="51">
        <f>+IF(F1006=12%,D1006*H1006,0)</f>
        <v>60.807600000000001</v>
      </c>
      <c r="K1006" s="81">
        <v>0.28539999999999999</v>
      </c>
      <c r="L1006" s="53">
        <v>0</v>
      </c>
      <c r="M1006" s="53">
        <f>+J1006*K1006</f>
        <v>17.354489040000001</v>
      </c>
      <c r="N1006" s="53">
        <f>+(J1006-M1006)*F1006</f>
        <v>5.2143733152000005</v>
      </c>
      <c r="O1006" s="53">
        <f>+J1006-M1006+N1006</f>
        <v>48.667484275200003</v>
      </c>
      <c r="P1006" s="7" t="s">
        <v>45</v>
      </c>
      <c r="Q1006" s="7" t="s">
        <v>46</v>
      </c>
      <c r="R1006" s="7" t="s">
        <v>45</v>
      </c>
    </row>
    <row r="1007" spans="1:18" x14ac:dyDescent="0.25">
      <c r="B1007" s="2" t="s">
        <v>21</v>
      </c>
      <c r="C1007" s="15" t="s">
        <v>22</v>
      </c>
      <c r="D1007" s="45">
        <v>356.48</v>
      </c>
      <c r="E1007" s="45" t="s">
        <v>109</v>
      </c>
      <c r="F1007" s="43">
        <v>0.12</v>
      </c>
      <c r="G1007" s="35" t="s">
        <v>110</v>
      </c>
      <c r="H1007" s="51">
        <v>0.98</v>
      </c>
      <c r="I1007" s="51">
        <f t="shared" ref="I1007:I1012" si="2">+IF(F1007=0%,D1007*H1007,0)</f>
        <v>0</v>
      </c>
      <c r="J1007" s="51">
        <f t="shared" ref="J1007:J1012" si="3">+IF(F1007=12%,D1007*H1007,0)</f>
        <v>349.35040000000004</v>
      </c>
      <c r="K1007" s="81">
        <v>0</v>
      </c>
      <c r="L1007" s="53">
        <v>0</v>
      </c>
      <c r="M1007" s="53">
        <f>+J1007*K1007</f>
        <v>0</v>
      </c>
      <c r="N1007" s="53">
        <f>+(J1007-M1007)*F1007</f>
        <v>41.922048000000004</v>
      </c>
      <c r="O1007" s="53">
        <f>+J1007-M1007+N1007</f>
        <v>391.27244800000005</v>
      </c>
      <c r="P1007" s="7" t="s">
        <v>45</v>
      </c>
      <c r="Q1007" s="45" t="s">
        <v>46</v>
      </c>
      <c r="R1007" s="7" t="s">
        <v>45</v>
      </c>
    </row>
    <row r="1008" spans="1:18" ht="30" x14ac:dyDescent="0.25">
      <c r="B1008" s="2" t="s">
        <v>23</v>
      </c>
      <c r="C1008" s="8" t="s">
        <v>70</v>
      </c>
      <c r="D1008" s="45">
        <v>277.83</v>
      </c>
      <c r="E1008" s="45" t="s">
        <v>111</v>
      </c>
      <c r="F1008" s="43">
        <v>0.12</v>
      </c>
      <c r="G1008" s="35" t="s">
        <v>112</v>
      </c>
      <c r="H1008" s="51">
        <v>1.25</v>
      </c>
      <c r="I1008" s="51">
        <f t="shared" si="2"/>
        <v>0</v>
      </c>
      <c r="J1008" s="51">
        <f t="shared" si="3"/>
        <v>347.28749999999997</v>
      </c>
      <c r="K1008" s="81">
        <v>0.35260000000000002</v>
      </c>
      <c r="L1008" s="53">
        <v>0</v>
      </c>
      <c r="M1008" s="53">
        <f>+J1008*K1008</f>
        <v>122.45357249999999</v>
      </c>
      <c r="N1008" s="53">
        <f>+(J1008-M1008)*F1008</f>
        <v>26.980071299999995</v>
      </c>
      <c r="O1008" s="53">
        <f>+J1008-M1008+N1008</f>
        <v>251.81399879999995</v>
      </c>
      <c r="P1008" s="7" t="s">
        <v>45</v>
      </c>
      <c r="Q1008" s="45" t="s">
        <v>46</v>
      </c>
      <c r="R1008" s="7" t="s">
        <v>45</v>
      </c>
    </row>
    <row r="1009" spans="2:18" x14ac:dyDescent="0.25">
      <c r="B1009" s="2" t="s">
        <v>26</v>
      </c>
      <c r="C1009" s="12" t="s">
        <v>71</v>
      </c>
      <c r="D1009" s="45">
        <v>1925.36</v>
      </c>
      <c r="E1009" s="45" t="s">
        <v>287</v>
      </c>
      <c r="F1009" s="43">
        <v>0</v>
      </c>
      <c r="G1009" s="35" t="s">
        <v>292</v>
      </c>
      <c r="H1009" s="51">
        <v>0.87</v>
      </c>
      <c r="I1009" s="51">
        <f t="shared" si="2"/>
        <v>1675.0631999999998</v>
      </c>
      <c r="J1009" s="51">
        <f t="shared" si="3"/>
        <v>0</v>
      </c>
      <c r="K1009" s="81">
        <v>0</v>
      </c>
      <c r="L1009" s="53">
        <v>0</v>
      </c>
      <c r="M1009" s="53">
        <f>+I1009*K1009</f>
        <v>0</v>
      </c>
      <c r="N1009" s="53">
        <f>+(I1009-M1009)*F1009</f>
        <v>0</v>
      </c>
      <c r="O1009" s="53">
        <f>+I1009-M1009</f>
        <v>1675.0631999999998</v>
      </c>
      <c r="P1009" s="7" t="s">
        <v>45</v>
      </c>
      <c r="Q1009" s="45" t="s">
        <v>46</v>
      </c>
      <c r="R1009" s="7" t="s">
        <v>45</v>
      </c>
    </row>
    <row r="1010" spans="2:18" x14ac:dyDescent="0.25">
      <c r="B1010" s="2" t="s">
        <v>27</v>
      </c>
      <c r="C1010" s="3" t="s">
        <v>28</v>
      </c>
      <c r="D1010" s="45">
        <v>14.26</v>
      </c>
      <c r="E1010" s="45" t="s">
        <v>288</v>
      </c>
      <c r="F1010" s="43">
        <v>0</v>
      </c>
      <c r="G1010" s="35" t="s">
        <v>293</v>
      </c>
      <c r="H1010" s="10">
        <v>7.86</v>
      </c>
      <c r="I1010" s="10">
        <f t="shared" si="2"/>
        <v>112.0836</v>
      </c>
      <c r="J1010" s="10">
        <f t="shared" si="3"/>
        <v>0</v>
      </c>
      <c r="K1010" s="81">
        <v>0.28770000000000001</v>
      </c>
      <c r="L1010" s="53">
        <v>0</v>
      </c>
      <c r="M1010" s="53">
        <f>+I1010*K1010</f>
        <v>32.246451720000003</v>
      </c>
      <c r="N1010" s="53">
        <f>+(I1010-M1010)*F1010</f>
        <v>0</v>
      </c>
      <c r="O1010" s="53">
        <f>+I1010-M1010</f>
        <v>79.837148280000008</v>
      </c>
      <c r="P1010" s="7" t="s">
        <v>45</v>
      </c>
      <c r="Q1010" s="45" t="s">
        <v>46</v>
      </c>
      <c r="R1010" s="7" t="s">
        <v>45</v>
      </c>
    </row>
    <row r="1011" spans="2:18" x14ac:dyDescent="0.25">
      <c r="B1011" s="2" t="s">
        <v>29</v>
      </c>
      <c r="C1011" s="3">
        <v>1</v>
      </c>
      <c r="D1011" s="45">
        <v>787.59</v>
      </c>
      <c r="E1011" s="45" t="s">
        <v>289</v>
      </c>
      <c r="F1011" s="43">
        <v>0</v>
      </c>
      <c r="G1011" s="35" t="s">
        <v>294</v>
      </c>
      <c r="H1011" s="10">
        <v>2.14</v>
      </c>
      <c r="I1011" s="10">
        <f t="shared" si="2"/>
        <v>1685.4426000000001</v>
      </c>
      <c r="J1011" s="10">
        <f t="shared" si="3"/>
        <v>0</v>
      </c>
      <c r="K1011" s="81">
        <v>2.3E-3</v>
      </c>
      <c r="L1011" s="53">
        <v>0</v>
      </c>
      <c r="M1011" s="53">
        <f>+I1011*K1011</f>
        <v>3.87651798</v>
      </c>
      <c r="N1011" s="53">
        <f>+(I1011-M1011)*F1011</f>
        <v>0</v>
      </c>
      <c r="O1011" s="53">
        <f>+I1011-M1011</f>
        <v>1681.5660820200001</v>
      </c>
      <c r="P1011" s="7" t="s">
        <v>45</v>
      </c>
      <c r="Q1011" s="45" t="s">
        <v>46</v>
      </c>
      <c r="R1011" s="7" t="s">
        <v>45</v>
      </c>
    </row>
    <row r="1012" spans="2:18" x14ac:dyDescent="0.25">
      <c r="B1012" s="2" t="s">
        <v>30</v>
      </c>
      <c r="C1012" s="7">
        <v>1120335551</v>
      </c>
      <c r="D1012" s="80">
        <v>1</v>
      </c>
      <c r="E1012" s="45" t="s">
        <v>114</v>
      </c>
      <c r="F1012" s="43">
        <v>0.12</v>
      </c>
      <c r="G1012" s="45" t="s">
        <v>115</v>
      </c>
      <c r="H1012" s="10">
        <v>240</v>
      </c>
      <c r="I1012" s="10">
        <f t="shared" si="2"/>
        <v>0</v>
      </c>
      <c r="J1012" s="10">
        <f t="shared" si="3"/>
        <v>240</v>
      </c>
      <c r="K1012" s="82">
        <v>0.05</v>
      </c>
      <c r="L1012" s="53">
        <v>0</v>
      </c>
      <c r="M1012" s="53">
        <f>+J1012*K1012</f>
        <v>12</v>
      </c>
      <c r="N1012" s="53">
        <f>+(J1012-M1012)*F1012</f>
        <v>27.36</v>
      </c>
      <c r="O1012" s="53">
        <f>+J1012-M1012+N1012</f>
        <v>255.36</v>
      </c>
      <c r="P1012" s="35" t="s">
        <v>275</v>
      </c>
      <c r="Q1012" s="45" t="s">
        <v>274</v>
      </c>
      <c r="R1012" s="7" t="s">
        <v>25</v>
      </c>
    </row>
    <row r="1013" spans="2:18" ht="15.75" thickBot="1" x14ac:dyDescent="0.3">
      <c r="B1013" s="2" t="s">
        <v>31</v>
      </c>
      <c r="C1013" s="14">
        <v>43511</v>
      </c>
      <c r="D1013" s="39" t="s">
        <v>148</v>
      </c>
      <c r="E1013" s="49">
        <f>+SUM(I1006:I1012)</f>
        <v>3472.5893999999998</v>
      </c>
      <c r="G1013" s="23"/>
      <c r="H1013" s="41"/>
      <c r="I1013" s="41"/>
      <c r="J1013" s="41"/>
      <c r="K1013" s="130" t="s">
        <v>305</v>
      </c>
      <c r="L1013" s="23"/>
      <c r="M1013" s="41"/>
      <c r="N1013" s="41"/>
      <c r="O1013" s="42"/>
      <c r="P1013" s="23"/>
      <c r="Q1013" s="23"/>
      <c r="R1013" s="22"/>
    </row>
    <row r="1014" spans="2:18" ht="15.75" thickBot="1" x14ac:dyDescent="0.3">
      <c r="B1014" s="2" t="s">
        <v>32</v>
      </c>
      <c r="C1014" s="15" t="s">
        <v>33</v>
      </c>
      <c r="D1014" s="16" t="s">
        <v>36</v>
      </c>
      <c r="E1014" s="50">
        <f>+SUM(J1006:J1012)</f>
        <v>997.44550000000004</v>
      </c>
      <c r="K1014" s="130"/>
    </row>
    <row r="1015" spans="2:18" ht="15.75" thickBot="1" x14ac:dyDescent="0.3">
      <c r="B1015" s="2" t="s">
        <v>35</v>
      </c>
      <c r="C1015" s="15" t="s">
        <v>33</v>
      </c>
      <c r="D1015" s="16" t="s">
        <v>39</v>
      </c>
      <c r="E1015" s="50">
        <f>SUM(M1006:M1012)</f>
        <v>187.93103123999998</v>
      </c>
      <c r="K1015" s="130"/>
    </row>
    <row r="1016" spans="2:18" ht="15.75" thickBot="1" x14ac:dyDescent="0.3">
      <c r="B1016" s="2" t="s">
        <v>37</v>
      </c>
      <c r="C1016" s="15" t="s">
        <v>370</v>
      </c>
      <c r="D1016" s="16" t="s">
        <v>14</v>
      </c>
      <c r="E1016" s="50">
        <f>SUM(N1006:N1012)</f>
        <v>101.4764926152</v>
      </c>
      <c r="K1016" s="130"/>
    </row>
    <row r="1017" spans="2:18" ht="15.75" thickBot="1" x14ac:dyDescent="0.3">
      <c r="B1017" s="18"/>
      <c r="C1017" s="18"/>
      <c r="D1017" s="16" t="s">
        <v>15</v>
      </c>
      <c r="E1017" s="50">
        <f>SUM(O1006:O1012)</f>
        <v>4383.5803613751996</v>
      </c>
      <c r="K1017" s="130"/>
    </row>
    <row r="1018" spans="2:18" x14ac:dyDescent="0.25">
      <c r="B1018" s="18"/>
      <c r="C1018" s="18"/>
    </row>
    <row r="1019" spans="2:18" x14ac:dyDescent="0.25">
      <c r="B1019" s="18"/>
      <c r="C1019" s="18"/>
    </row>
    <row r="1020" spans="2:18" x14ac:dyDescent="0.25">
      <c r="B1020" s="114" t="s">
        <v>47</v>
      </c>
      <c r="C1020" s="114"/>
      <c r="D1020" s="114"/>
      <c r="E1020" s="114"/>
      <c r="F1020" s="114"/>
      <c r="G1020" s="114"/>
      <c r="H1020" s="114"/>
      <c r="I1020" s="114"/>
      <c r="J1020" s="114"/>
      <c r="K1020" s="114"/>
      <c r="L1020" s="114"/>
      <c r="M1020" s="114"/>
      <c r="N1020" s="114"/>
      <c r="O1020" s="114"/>
    </row>
    <row r="1021" spans="2:18" x14ac:dyDescent="0.25">
      <c r="B1021" s="2" t="s">
        <v>48</v>
      </c>
      <c r="C1021" s="15" t="s">
        <v>33</v>
      </c>
      <c r="D1021" s="19" t="s">
        <v>16</v>
      </c>
      <c r="E1021" s="115" t="s">
        <v>152</v>
      </c>
      <c r="F1021" s="116"/>
      <c r="G1021" s="47" t="s">
        <v>150</v>
      </c>
      <c r="H1021" s="117" t="s">
        <v>49</v>
      </c>
      <c r="I1021" s="118"/>
      <c r="J1021" s="117" t="s">
        <v>151</v>
      </c>
      <c r="K1021" s="118"/>
      <c r="L1021" s="5" t="s">
        <v>50</v>
      </c>
      <c r="M1021" s="5" t="s">
        <v>51</v>
      </c>
      <c r="N1021" s="117" t="s">
        <v>155</v>
      </c>
      <c r="O1021" s="118"/>
    </row>
    <row r="1022" spans="2:18" x14ac:dyDescent="0.25">
      <c r="B1022" s="2" t="s">
        <v>52</v>
      </c>
      <c r="C1022" s="15" t="s">
        <v>33</v>
      </c>
      <c r="D1022" s="45" t="s">
        <v>166</v>
      </c>
      <c r="E1022" s="119" t="s">
        <v>167</v>
      </c>
      <c r="F1022" s="119"/>
      <c r="G1022" s="48">
        <v>731</v>
      </c>
      <c r="H1022" s="120" t="s">
        <v>14</v>
      </c>
      <c r="I1022" s="121"/>
      <c r="J1022" s="122">
        <v>1</v>
      </c>
      <c r="K1022" s="123"/>
      <c r="L1022" s="54">
        <f>+E1016*J1022</f>
        <v>101.4764926152</v>
      </c>
      <c r="M1022" s="131">
        <f>+L1022+L1023</f>
        <v>144.2975313028</v>
      </c>
      <c r="N1022" s="133">
        <f>+E1017-M1022</f>
        <v>4239.2828300723995</v>
      </c>
      <c r="O1022" s="134"/>
    </row>
    <row r="1023" spans="2:18" x14ac:dyDescent="0.25">
      <c r="B1023" s="2" t="s">
        <v>53</v>
      </c>
      <c r="C1023" s="15" t="s">
        <v>162</v>
      </c>
      <c r="D1023" s="45" t="s">
        <v>165</v>
      </c>
      <c r="E1023" s="119" t="s">
        <v>168</v>
      </c>
      <c r="F1023" s="119"/>
      <c r="G1023" s="48">
        <v>309</v>
      </c>
      <c r="H1023" s="120" t="s">
        <v>153</v>
      </c>
      <c r="I1023" s="121"/>
      <c r="J1023" s="122">
        <v>0.01</v>
      </c>
      <c r="K1023" s="123"/>
      <c r="L1023" s="54">
        <f>(E1014+E1013-E1015)*J1023</f>
        <v>42.821038687599994</v>
      </c>
      <c r="M1023" s="132"/>
      <c r="N1023" s="135"/>
      <c r="O1023" s="136"/>
    </row>
    <row r="1024" spans="2:18" x14ac:dyDescent="0.25">
      <c r="B1024" s="2" t="s">
        <v>55</v>
      </c>
      <c r="C1024" s="3" t="str">
        <f>+CONCATENATE(C1014,"-",C1015,"-",C1016)</f>
        <v>001-001-133</v>
      </c>
    </row>
    <row r="1025" spans="1:18" x14ac:dyDescent="0.25">
      <c r="B1025" s="2" t="s">
        <v>57</v>
      </c>
      <c r="C1025" s="21">
        <f>+C1013</f>
        <v>43511</v>
      </c>
    </row>
    <row r="1026" spans="1:18" x14ac:dyDescent="0.25">
      <c r="B1026" s="2" t="s">
        <v>86</v>
      </c>
      <c r="C1026" s="21" t="s">
        <v>87</v>
      </c>
      <c r="D1026" s="22"/>
      <c r="E1026" s="28" t="s">
        <v>279</v>
      </c>
      <c r="F1026" s="23"/>
      <c r="H1026" s="23"/>
      <c r="I1026" s="23"/>
      <c r="J1026" s="24"/>
      <c r="K1026" s="24"/>
      <c r="L1026" s="25"/>
      <c r="M1026" s="26"/>
      <c r="N1026" s="22"/>
      <c r="O1026" s="22"/>
    </row>
    <row r="1027" spans="1:18" x14ac:dyDescent="0.25">
      <c r="B1027" s="2" t="s">
        <v>59</v>
      </c>
      <c r="C1027" s="21" t="s">
        <v>88</v>
      </c>
      <c r="D1027" s="22"/>
      <c r="E1027" s="23"/>
      <c r="F1027" s="23"/>
      <c r="H1027" s="23"/>
      <c r="I1027" s="23"/>
      <c r="J1027" s="24"/>
      <c r="K1027" s="24"/>
      <c r="L1027" s="25"/>
      <c r="M1027" s="26"/>
      <c r="N1027" s="22"/>
      <c r="O1027" s="22"/>
    </row>
    <row r="1028" spans="1:18" x14ac:dyDescent="0.25">
      <c r="B1028" s="2" t="s">
        <v>60</v>
      </c>
      <c r="C1028" s="21" t="s">
        <v>89</v>
      </c>
      <c r="D1028" s="22"/>
      <c r="E1028" s="23"/>
      <c r="F1028" s="23"/>
      <c r="H1028" s="23"/>
      <c r="I1028" s="23"/>
      <c r="J1028" s="24"/>
      <c r="K1028" s="24"/>
      <c r="L1028" s="25"/>
      <c r="M1028" s="26"/>
      <c r="N1028" s="22"/>
      <c r="O1028" s="22"/>
    </row>
    <row r="1029" spans="1:18" x14ac:dyDescent="0.25">
      <c r="B1029" s="2" t="s">
        <v>61</v>
      </c>
      <c r="C1029" s="27">
        <f>+E1017-M1022</f>
        <v>4239.2828300723995</v>
      </c>
      <c r="D1029" s="22"/>
      <c r="E1029" s="28"/>
      <c r="G1029" s="23"/>
      <c r="H1029" s="24"/>
      <c r="I1029" s="24"/>
      <c r="J1029" s="24"/>
      <c r="K1029" s="25"/>
      <c r="L1029" s="26"/>
      <c r="M1029" s="22"/>
      <c r="N1029" s="22"/>
    </row>
    <row r="1032" spans="1:18" ht="26.25" x14ac:dyDescent="0.4">
      <c r="A1032" s="78" t="s">
        <v>302</v>
      </c>
      <c r="B1032" s="34" t="s">
        <v>94</v>
      </c>
      <c r="C1032" s="1" t="s">
        <v>307</v>
      </c>
      <c r="D1032" s="137" t="s">
        <v>304</v>
      </c>
      <c r="E1032" s="137"/>
      <c r="F1032" s="137"/>
    </row>
    <row r="1033" spans="1:18" x14ac:dyDescent="0.25">
      <c r="B1033" s="112" t="s">
        <v>5</v>
      </c>
      <c r="C1033" s="113"/>
      <c r="D1033" s="113"/>
      <c r="E1033" s="113"/>
      <c r="F1033" s="113"/>
      <c r="G1033" s="113"/>
      <c r="H1033" s="113"/>
      <c r="I1033" s="113"/>
      <c r="J1033" s="113"/>
      <c r="K1033" s="113"/>
      <c r="L1033" s="113"/>
      <c r="M1033" s="113"/>
      <c r="N1033" s="113"/>
      <c r="O1033" s="113"/>
      <c r="P1033" s="113"/>
      <c r="Q1033" s="113"/>
      <c r="R1033" s="113"/>
    </row>
    <row r="1034" spans="1:18" x14ac:dyDescent="0.25">
      <c r="B1034" s="2" t="s">
        <v>6</v>
      </c>
      <c r="C1034" s="3" t="s">
        <v>7</v>
      </c>
      <c r="D1034" s="44" t="s">
        <v>8</v>
      </c>
      <c r="E1034" s="5" t="s">
        <v>9</v>
      </c>
      <c r="F1034" s="5" t="s">
        <v>14</v>
      </c>
      <c r="G1034" s="5" t="s">
        <v>10</v>
      </c>
      <c r="H1034" s="5" t="s">
        <v>11</v>
      </c>
      <c r="I1034" s="5" t="s">
        <v>148</v>
      </c>
      <c r="J1034" s="5" t="s">
        <v>149</v>
      </c>
      <c r="K1034" s="5" t="s">
        <v>12</v>
      </c>
      <c r="L1034" s="5" t="s">
        <v>13</v>
      </c>
      <c r="M1034" s="5" t="s">
        <v>40</v>
      </c>
      <c r="N1034" s="5" t="s">
        <v>14</v>
      </c>
      <c r="O1034" s="5" t="s">
        <v>15</v>
      </c>
      <c r="P1034" s="5" t="s">
        <v>16</v>
      </c>
      <c r="Q1034" s="5" t="s">
        <v>17</v>
      </c>
      <c r="R1034" s="5" t="s">
        <v>18</v>
      </c>
    </row>
    <row r="1035" spans="1:18" x14ac:dyDescent="0.25">
      <c r="B1035" s="2" t="s">
        <v>19</v>
      </c>
      <c r="C1035" s="6" t="s">
        <v>20</v>
      </c>
      <c r="D1035" s="45">
        <v>48.26</v>
      </c>
      <c r="E1035" s="45" t="s">
        <v>107</v>
      </c>
      <c r="F1035" s="43">
        <v>0.12</v>
      </c>
      <c r="G1035" s="35" t="s">
        <v>108</v>
      </c>
      <c r="H1035" s="51">
        <v>1.26</v>
      </c>
      <c r="I1035" s="51">
        <f>+IF(F1035=0%,D1035*H1035,0)</f>
        <v>0</v>
      </c>
      <c r="J1035" s="51">
        <f>+IF(F1035=12%,D1035*H1035,0)</f>
        <v>60.807600000000001</v>
      </c>
      <c r="K1035" s="81">
        <v>0.28539999999999999</v>
      </c>
      <c r="L1035" s="53">
        <v>0</v>
      </c>
      <c r="M1035" s="53">
        <f>+J1035*K1035</f>
        <v>17.354489040000001</v>
      </c>
      <c r="N1035" s="53">
        <f>+(J1035-M1035)*F1035</f>
        <v>5.2143733152000005</v>
      </c>
      <c r="O1035" s="53">
        <f>+J1035-M1035+N1035</f>
        <v>48.667484275200003</v>
      </c>
      <c r="P1035" s="7" t="s">
        <v>45</v>
      </c>
      <c r="Q1035" s="7" t="s">
        <v>46</v>
      </c>
      <c r="R1035" s="7" t="s">
        <v>45</v>
      </c>
    </row>
    <row r="1036" spans="1:18" x14ac:dyDescent="0.25">
      <c r="B1036" s="2" t="s">
        <v>21</v>
      </c>
      <c r="C1036" s="15" t="s">
        <v>22</v>
      </c>
      <c r="D1036" s="45">
        <v>356.48</v>
      </c>
      <c r="E1036" s="45" t="s">
        <v>109</v>
      </c>
      <c r="F1036" s="43">
        <v>0.12</v>
      </c>
      <c r="G1036" s="35" t="s">
        <v>110</v>
      </c>
      <c r="H1036" s="51">
        <v>0.98</v>
      </c>
      <c r="I1036" s="51">
        <f t="shared" ref="I1036:I1041" si="4">+IF(F1036=0%,D1036*H1036,0)</f>
        <v>0</v>
      </c>
      <c r="J1036" s="51">
        <f t="shared" ref="J1036:J1041" si="5">+IF(F1036=12%,D1036*H1036,0)</f>
        <v>349.35040000000004</v>
      </c>
      <c r="K1036" s="81">
        <v>0</v>
      </c>
      <c r="L1036" s="53">
        <v>0</v>
      </c>
      <c r="M1036" s="53">
        <f>+J1036*K1036</f>
        <v>0</v>
      </c>
      <c r="N1036" s="53">
        <f>+(J1036-M1036)*F1036</f>
        <v>41.922048000000004</v>
      </c>
      <c r="O1036" s="53">
        <f>+J1036-M1036+N1036</f>
        <v>391.27244800000005</v>
      </c>
      <c r="P1036" s="7" t="s">
        <v>45</v>
      </c>
      <c r="Q1036" s="45" t="s">
        <v>46</v>
      </c>
      <c r="R1036" s="7" t="s">
        <v>45</v>
      </c>
    </row>
    <row r="1037" spans="1:18" ht="30" x14ac:dyDescent="0.25">
      <c r="B1037" s="2" t="s">
        <v>23</v>
      </c>
      <c r="C1037" s="30" t="s">
        <v>70</v>
      </c>
      <c r="D1037" s="45">
        <v>277.83</v>
      </c>
      <c r="E1037" s="45" t="s">
        <v>111</v>
      </c>
      <c r="F1037" s="43">
        <v>0.12</v>
      </c>
      <c r="G1037" s="35" t="s">
        <v>112</v>
      </c>
      <c r="H1037" s="51">
        <v>1.25</v>
      </c>
      <c r="I1037" s="51">
        <f t="shared" si="4"/>
        <v>0</v>
      </c>
      <c r="J1037" s="51">
        <f t="shared" si="5"/>
        <v>347.28749999999997</v>
      </c>
      <c r="K1037" s="81">
        <v>0.35260000000000002</v>
      </c>
      <c r="L1037" s="53">
        <v>0</v>
      </c>
      <c r="M1037" s="53">
        <f>+J1037*K1037</f>
        <v>122.45357249999999</v>
      </c>
      <c r="N1037" s="53">
        <f>+(J1037-M1037)*F1037</f>
        <v>26.980071299999995</v>
      </c>
      <c r="O1037" s="53">
        <f>+J1037-M1037+N1037</f>
        <v>251.81399879999995</v>
      </c>
      <c r="P1037" s="7" t="s">
        <v>45</v>
      </c>
      <c r="Q1037" s="45" t="s">
        <v>46</v>
      </c>
      <c r="R1037" s="7" t="s">
        <v>45</v>
      </c>
    </row>
    <row r="1038" spans="1:18" x14ac:dyDescent="0.25">
      <c r="B1038" s="2" t="s">
        <v>26</v>
      </c>
      <c r="C1038" s="12" t="s">
        <v>71</v>
      </c>
      <c r="D1038" s="45">
        <v>1925.36</v>
      </c>
      <c r="E1038" s="45" t="s">
        <v>287</v>
      </c>
      <c r="F1038" s="43">
        <v>0</v>
      </c>
      <c r="G1038" s="35" t="s">
        <v>292</v>
      </c>
      <c r="H1038" s="51">
        <v>0.87</v>
      </c>
      <c r="I1038" s="51">
        <f t="shared" si="4"/>
        <v>1675.0631999999998</v>
      </c>
      <c r="J1038" s="51">
        <f t="shared" si="5"/>
        <v>0</v>
      </c>
      <c r="K1038" s="81">
        <v>0</v>
      </c>
      <c r="L1038" s="53">
        <v>0</v>
      </c>
      <c r="M1038" s="53">
        <f>+I1038*K1038</f>
        <v>0</v>
      </c>
      <c r="N1038" s="53">
        <f>+(I1038-M1038)*F1038</f>
        <v>0</v>
      </c>
      <c r="O1038" s="53">
        <f>+I1038-M1038</f>
        <v>1675.0631999999998</v>
      </c>
      <c r="P1038" s="7" t="s">
        <v>45</v>
      </c>
      <c r="Q1038" s="45" t="s">
        <v>46</v>
      </c>
      <c r="R1038" s="7" t="s">
        <v>45</v>
      </c>
    </row>
    <row r="1039" spans="1:18" x14ac:dyDescent="0.25">
      <c r="B1039" s="2" t="s">
        <v>27</v>
      </c>
      <c r="C1039" s="3" t="s">
        <v>28</v>
      </c>
      <c r="D1039" s="45">
        <v>14.26</v>
      </c>
      <c r="E1039" s="45" t="s">
        <v>288</v>
      </c>
      <c r="F1039" s="43">
        <v>0</v>
      </c>
      <c r="G1039" s="35" t="s">
        <v>293</v>
      </c>
      <c r="H1039" s="10">
        <v>7.86</v>
      </c>
      <c r="I1039" s="10">
        <f t="shared" si="4"/>
        <v>112.0836</v>
      </c>
      <c r="J1039" s="10">
        <f t="shared" si="5"/>
        <v>0</v>
      </c>
      <c r="K1039" s="81">
        <v>0.28770000000000001</v>
      </c>
      <c r="L1039" s="53">
        <v>0</v>
      </c>
      <c r="M1039" s="53">
        <f>+I1039*K1039</f>
        <v>32.246451720000003</v>
      </c>
      <c r="N1039" s="53">
        <f>+(I1039-M1039)*F1039</f>
        <v>0</v>
      </c>
      <c r="O1039" s="53">
        <f>+I1039-M1039</f>
        <v>79.837148280000008</v>
      </c>
      <c r="P1039" s="7" t="s">
        <v>45</v>
      </c>
      <c r="Q1039" s="45" t="s">
        <v>46</v>
      </c>
      <c r="R1039" s="7" t="s">
        <v>45</v>
      </c>
    </row>
    <row r="1040" spans="1:18" x14ac:dyDescent="0.25">
      <c r="B1040" s="2" t="s">
        <v>29</v>
      </c>
      <c r="C1040" s="3">
        <v>1</v>
      </c>
      <c r="D1040" s="45">
        <v>787.59</v>
      </c>
      <c r="E1040" s="45" t="s">
        <v>289</v>
      </c>
      <c r="F1040" s="43">
        <v>0</v>
      </c>
      <c r="G1040" s="35" t="s">
        <v>294</v>
      </c>
      <c r="H1040" s="10">
        <v>2.14</v>
      </c>
      <c r="I1040" s="10">
        <f t="shared" si="4"/>
        <v>1685.4426000000001</v>
      </c>
      <c r="J1040" s="10">
        <f t="shared" si="5"/>
        <v>0</v>
      </c>
      <c r="K1040" s="81">
        <v>2.3E-3</v>
      </c>
      <c r="L1040" s="53">
        <v>0</v>
      </c>
      <c r="M1040" s="53">
        <f>+I1040*K1040</f>
        <v>3.87651798</v>
      </c>
      <c r="N1040" s="53">
        <f>+(I1040-M1040)*F1040</f>
        <v>0</v>
      </c>
      <c r="O1040" s="53">
        <f>+I1040-M1040</f>
        <v>1681.5660820200001</v>
      </c>
      <c r="P1040" s="7" t="s">
        <v>45</v>
      </c>
      <c r="Q1040" s="45" t="s">
        <v>46</v>
      </c>
      <c r="R1040" s="7" t="s">
        <v>45</v>
      </c>
    </row>
    <row r="1041" spans="2:18" ht="15.75" thickBot="1" x14ac:dyDescent="0.3">
      <c r="B1041" s="2" t="s">
        <v>30</v>
      </c>
      <c r="C1041" s="7">
        <v>1120335551</v>
      </c>
      <c r="D1041" s="80">
        <v>1</v>
      </c>
      <c r="E1041" s="45" t="s">
        <v>114</v>
      </c>
      <c r="F1041" s="43">
        <v>0.12</v>
      </c>
      <c r="G1041" s="45" t="s">
        <v>115</v>
      </c>
      <c r="H1041" s="10">
        <v>240</v>
      </c>
      <c r="I1041" s="10">
        <f t="shared" si="4"/>
        <v>0</v>
      </c>
      <c r="J1041" s="10">
        <f t="shared" si="5"/>
        <v>240</v>
      </c>
      <c r="K1041" s="82">
        <v>0.05</v>
      </c>
      <c r="L1041" s="53">
        <v>0</v>
      </c>
      <c r="M1041" s="53">
        <f>+J1041*K1041</f>
        <v>12</v>
      </c>
      <c r="N1041" s="53">
        <f>+(J1041-M1041)*F1041</f>
        <v>27.36</v>
      </c>
      <c r="O1041" s="53">
        <f>+J1041-M1041+N1041</f>
        <v>255.36</v>
      </c>
      <c r="P1041" s="35" t="s">
        <v>275</v>
      </c>
      <c r="Q1041" s="45" t="s">
        <v>274</v>
      </c>
      <c r="R1041" s="7" t="s">
        <v>25</v>
      </c>
    </row>
    <row r="1042" spans="2:18" ht="15.75" thickBot="1" x14ac:dyDescent="0.3">
      <c r="B1042" s="2" t="s">
        <v>31</v>
      </c>
      <c r="C1042" s="14">
        <v>43511</v>
      </c>
      <c r="D1042" s="16" t="s">
        <v>34</v>
      </c>
      <c r="E1042" s="40">
        <f>+SUM(I1035:I1041)</f>
        <v>3472.5893999999998</v>
      </c>
      <c r="K1042" s="130" t="s">
        <v>305</v>
      </c>
    </row>
    <row r="1043" spans="2:18" ht="15.75" thickBot="1" x14ac:dyDescent="0.3">
      <c r="B1043" s="2" t="s">
        <v>32</v>
      </c>
      <c r="C1043" s="15" t="s">
        <v>33</v>
      </c>
      <c r="D1043" s="16" t="s">
        <v>36</v>
      </c>
      <c r="E1043" s="17">
        <f>+SUM(J1035:J1041)</f>
        <v>997.44550000000004</v>
      </c>
      <c r="K1043" s="130"/>
    </row>
    <row r="1044" spans="2:18" ht="15.75" thickBot="1" x14ac:dyDescent="0.3">
      <c r="B1044" s="2" t="s">
        <v>35</v>
      </c>
      <c r="C1044" s="15" t="s">
        <v>33</v>
      </c>
      <c r="D1044" s="16" t="s">
        <v>39</v>
      </c>
      <c r="E1044" s="17">
        <f>SUM(M1035:M1041)</f>
        <v>187.93103123999998</v>
      </c>
      <c r="K1044" s="130"/>
    </row>
    <row r="1045" spans="2:18" ht="15.75" thickBot="1" x14ac:dyDescent="0.3">
      <c r="B1045" s="2" t="s">
        <v>37</v>
      </c>
      <c r="C1045" s="15" t="s">
        <v>371</v>
      </c>
      <c r="D1045" s="16" t="s">
        <v>14</v>
      </c>
      <c r="E1045" s="17">
        <f>SUM(N1035:N1041)</f>
        <v>101.4764926152</v>
      </c>
      <c r="K1045" s="130"/>
    </row>
    <row r="1046" spans="2:18" ht="15.75" thickBot="1" x14ac:dyDescent="0.3">
      <c r="B1046" s="18"/>
      <c r="C1046" s="18"/>
      <c r="D1046" s="16" t="s">
        <v>15</v>
      </c>
      <c r="E1046" s="17">
        <f>SUM(O1035:O1041)</f>
        <v>4383.5803613751996</v>
      </c>
      <c r="K1046" s="130"/>
    </row>
    <row r="1048" spans="2:18" x14ac:dyDescent="0.25">
      <c r="B1048" s="114" t="s">
        <v>47</v>
      </c>
      <c r="C1048" s="114"/>
      <c r="D1048" s="114"/>
      <c r="E1048" s="114"/>
      <c r="F1048" s="114"/>
      <c r="G1048" s="114"/>
      <c r="H1048" s="114"/>
      <c r="I1048" s="114"/>
      <c r="J1048" s="114"/>
      <c r="K1048" s="114"/>
      <c r="L1048" s="114"/>
      <c r="M1048" s="114"/>
      <c r="N1048" s="114"/>
      <c r="O1048" s="114"/>
    </row>
    <row r="1049" spans="2:18" x14ac:dyDescent="0.25">
      <c r="B1049" s="2" t="s">
        <v>48</v>
      </c>
      <c r="C1049" s="15" t="s">
        <v>33</v>
      </c>
      <c r="D1049" s="19" t="s">
        <v>16</v>
      </c>
      <c r="E1049" s="115" t="s">
        <v>152</v>
      </c>
      <c r="F1049" s="116"/>
      <c r="G1049" s="47" t="s">
        <v>150</v>
      </c>
      <c r="H1049" s="117" t="s">
        <v>49</v>
      </c>
      <c r="I1049" s="118"/>
      <c r="J1049" s="117" t="s">
        <v>151</v>
      </c>
      <c r="K1049" s="118"/>
      <c r="L1049" s="5" t="s">
        <v>50</v>
      </c>
      <c r="M1049" s="5" t="s">
        <v>51</v>
      </c>
      <c r="N1049" s="117" t="s">
        <v>155</v>
      </c>
      <c r="O1049" s="118"/>
    </row>
    <row r="1050" spans="2:18" x14ac:dyDescent="0.25">
      <c r="B1050" s="2" t="s">
        <v>52</v>
      </c>
      <c r="C1050" s="15" t="s">
        <v>33</v>
      </c>
      <c r="D1050" s="45" t="s">
        <v>179</v>
      </c>
      <c r="E1050" s="119" t="s">
        <v>180</v>
      </c>
      <c r="F1050" s="119"/>
      <c r="G1050" s="48">
        <v>727</v>
      </c>
      <c r="H1050" s="120" t="s">
        <v>14</v>
      </c>
      <c r="I1050" s="121"/>
      <c r="J1050" s="122">
        <v>0.5</v>
      </c>
      <c r="K1050" s="123"/>
      <c r="L1050" s="20">
        <f>+E1045*J1050</f>
        <v>50.738246307600001</v>
      </c>
      <c r="M1050" s="124">
        <f>+L1050+L1051</f>
        <v>136.3803236828</v>
      </c>
      <c r="N1050" s="126">
        <f>+E1046-M1050</f>
        <v>4247.2000376923997</v>
      </c>
      <c r="O1050" s="127"/>
    </row>
    <row r="1051" spans="2:18" x14ac:dyDescent="0.25">
      <c r="B1051" s="2" t="s">
        <v>53</v>
      </c>
      <c r="C1051" s="15" t="s">
        <v>163</v>
      </c>
      <c r="D1051" s="45" t="s">
        <v>175</v>
      </c>
      <c r="E1051" s="119" t="s">
        <v>176</v>
      </c>
      <c r="F1051" s="119"/>
      <c r="G1051" s="48">
        <v>344</v>
      </c>
      <c r="H1051" s="120" t="s">
        <v>153</v>
      </c>
      <c r="I1051" s="121"/>
      <c r="J1051" s="122">
        <v>0.02</v>
      </c>
      <c r="K1051" s="123"/>
      <c r="L1051" s="20">
        <f>(E1043+E1042-E1044)*J1051</f>
        <v>85.642077375199989</v>
      </c>
      <c r="M1051" s="125"/>
      <c r="N1051" s="128"/>
      <c r="O1051" s="129"/>
    </row>
    <row r="1052" spans="2:18" x14ac:dyDescent="0.25">
      <c r="B1052" s="2" t="s">
        <v>55</v>
      </c>
      <c r="C1052" s="3" t="str">
        <f>+CONCATENATE(C1043,"-",C1044,"-",C1045)</f>
        <v>001-001-134</v>
      </c>
    </row>
    <row r="1053" spans="2:18" x14ac:dyDescent="0.25">
      <c r="B1053" s="2" t="s">
        <v>57</v>
      </c>
      <c r="C1053" s="21">
        <f>+C1042</f>
        <v>43511</v>
      </c>
    </row>
    <row r="1054" spans="2:18" x14ac:dyDescent="0.25">
      <c r="B1054" s="2" t="s">
        <v>86</v>
      </c>
      <c r="C1054" s="21" t="s">
        <v>87</v>
      </c>
      <c r="E1054" s="31" t="s">
        <v>279</v>
      </c>
    </row>
    <row r="1055" spans="2:18" x14ac:dyDescent="0.25">
      <c r="B1055" s="2" t="s">
        <v>59</v>
      </c>
      <c r="C1055" s="21" t="s">
        <v>90</v>
      </c>
    </row>
    <row r="1056" spans="2:18" x14ac:dyDescent="0.25">
      <c r="B1056" s="2" t="s">
        <v>60</v>
      </c>
      <c r="C1056" s="21" t="s">
        <v>91</v>
      </c>
    </row>
    <row r="1057" spans="1:18" x14ac:dyDescent="0.25">
      <c r="B1057" s="2" t="s">
        <v>61</v>
      </c>
      <c r="C1057" s="27">
        <f>+E1046-M1050</f>
        <v>4247.2000376923997</v>
      </c>
    </row>
    <row r="1060" spans="1:18" ht="26.25" x14ac:dyDescent="0.4">
      <c r="A1060" s="88" t="s">
        <v>311</v>
      </c>
      <c r="B1060" s="34" t="s">
        <v>140</v>
      </c>
      <c r="C1060" s="93" t="s">
        <v>309</v>
      </c>
      <c r="D1060" s="137" t="s">
        <v>312</v>
      </c>
      <c r="E1060" s="137"/>
      <c r="F1060" s="137"/>
    </row>
    <row r="1061" spans="1:18" x14ac:dyDescent="0.25">
      <c r="B1061" s="112" t="s">
        <v>5</v>
      </c>
      <c r="C1061" s="113"/>
      <c r="D1061" s="113"/>
      <c r="E1061" s="113"/>
      <c r="F1061" s="113"/>
      <c r="G1061" s="113"/>
      <c r="H1061" s="113"/>
      <c r="I1061" s="113"/>
      <c r="J1061" s="113"/>
      <c r="K1061" s="113"/>
      <c r="L1061" s="113"/>
      <c r="M1061" s="113"/>
      <c r="N1061" s="113"/>
      <c r="O1061" s="113"/>
      <c r="P1061" s="113"/>
      <c r="Q1061" s="113"/>
      <c r="R1061" s="113"/>
    </row>
    <row r="1062" spans="1:18" x14ac:dyDescent="0.25">
      <c r="B1062" s="2" t="s">
        <v>6</v>
      </c>
      <c r="C1062" s="3" t="s">
        <v>67</v>
      </c>
      <c r="D1062" s="76" t="s">
        <v>8</v>
      </c>
      <c r="E1062" s="5" t="s">
        <v>9</v>
      </c>
      <c r="F1062" s="5" t="s">
        <v>14</v>
      </c>
      <c r="G1062" s="5" t="s">
        <v>10</v>
      </c>
      <c r="H1062" s="5" t="s">
        <v>11</v>
      </c>
      <c r="I1062" s="5" t="s">
        <v>148</v>
      </c>
      <c r="J1062" s="5" t="s">
        <v>149</v>
      </c>
      <c r="K1062" s="5" t="s">
        <v>12</v>
      </c>
      <c r="L1062" s="5" t="s">
        <v>13</v>
      </c>
      <c r="M1062" s="5" t="s">
        <v>40</v>
      </c>
      <c r="N1062" s="5" t="s">
        <v>14</v>
      </c>
      <c r="O1062" s="5" t="s">
        <v>15</v>
      </c>
      <c r="P1062" s="5" t="s">
        <v>16</v>
      </c>
      <c r="Q1062" s="5" t="s">
        <v>17</v>
      </c>
      <c r="R1062" s="5" t="s">
        <v>18</v>
      </c>
    </row>
    <row r="1063" spans="1:18" x14ac:dyDescent="0.25">
      <c r="B1063" s="2" t="s">
        <v>19</v>
      </c>
      <c r="C1063" s="15" t="s">
        <v>68</v>
      </c>
      <c r="D1063" s="73">
        <v>400</v>
      </c>
      <c r="E1063" s="73" t="s">
        <v>118</v>
      </c>
      <c r="F1063" s="43">
        <v>0.12</v>
      </c>
      <c r="G1063" s="7" t="s">
        <v>79</v>
      </c>
      <c r="H1063" s="51">
        <v>0.14000000000000001</v>
      </c>
      <c r="I1063" s="51">
        <f>+IF(F1063=0%,D1063*H1063,0)</f>
        <v>0</v>
      </c>
      <c r="J1063" s="51">
        <f>+IF(F1063=12%,D1063*H1063,0)</f>
        <v>56.000000000000007</v>
      </c>
      <c r="K1063" s="85">
        <f>+L1063*100/J1063</f>
        <v>10.714285714285714</v>
      </c>
      <c r="L1063" s="86">
        <v>6</v>
      </c>
      <c r="M1063" s="53">
        <f>+L1063</f>
        <v>6</v>
      </c>
      <c r="N1063" s="53">
        <f t="shared" ref="N1063:N1069" si="6">+(J1063-M1063)*F1063</f>
        <v>6.0000000000000009</v>
      </c>
      <c r="O1063" s="53">
        <f>+J1063-M1063+N1063</f>
        <v>56.000000000000007</v>
      </c>
      <c r="P1063" s="7" t="s">
        <v>301</v>
      </c>
      <c r="Q1063" s="73" t="s">
        <v>81</v>
      </c>
      <c r="R1063" s="7" t="s">
        <v>25</v>
      </c>
    </row>
    <row r="1064" spans="1:18" x14ac:dyDescent="0.25">
      <c r="B1064" s="2" t="s">
        <v>21</v>
      </c>
      <c r="C1064" s="15" t="s">
        <v>22</v>
      </c>
      <c r="D1064" s="73">
        <v>28</v>
      </c>
      <c r="E1064" s="73" t="s">
        <v>119</v>
      </c>
      <c r="F1064" s="43">
        <v>0.12</v>
      </c>
      <c r="G1064" s="7" t="s">
        <v>82</v>
      </c>
      <c r="H1064" s="51">
        <v>4.59</v>
      </c>
      <c r="I1064" s="51">
        <f t="shared" ref="I1064:I1069" si="7">+IF(F1064=0%,D1064*H1064,0)</f>
        <v>0</v>
      </c>
      <c r="J1064" s="51">
        <f t="shared" ref="J1064:J1069" si="8">+IF(F1064=12%,D1064*H1064,0)</f>
        <v>128.51999999999998</v>
      </c>
      <c r="K1064" s="85">
        <f t="shared" ref="K1064:K1069" si="9">+L1064*100/J1064</f>
        <v>21.786492374727672</v>
      </c>
      <c r="L1064" s="86">
        <v>28</v>
      </c>
      <c r="M1064" s="53">
        <f t="shared" ref="M1064:M1069" si="10">+L1064</f>
        <v>28</v>
      </c>
      <c r="N1064" s="53">
        <f t="shared" si="6"/>
        <v>12.062399999999997</v>
      </c>
      <c r="O1064" s="53">
        <f>+J1064-M1064+N1064</f>
        <v>112.58239999999998</v>
      </c>
      <c r="P1064" s="7" t="s">
        <v>301</v>
      </c>
      <c r="Q1064" s="73" t="s">
        <v>81</v>
      </c>
      <c r="R1064" s="7" t="s">
        <v>25</v>
      </c>
    </row>
    <row r="1065" spans="1:18" ht="30" x14ac:dyDescent="0.25">
      <c r="B1065" s="2" t="s">
        <v>23</v>
      </c>
      <c r="C1065" s="30" t="s">
        <v>70</v>
      </c>
      <c r="D1065" s="73">
        <v>24</v>
      </c>
      <c r="E1065" s="73" t="s">
        <v>120</v>
      </c>
      <c r="F1065" s="43">
        <v>0.12</v>
      </c>
      <c r="G1065" s="7" t="s">
        <v>83</v>
      </c>
      <c r="H1065" s="51">
        <v>2.15</v>
      </c>
      <c r="I1065" s="51">
        <f t="shared" si="7"/>
        <v>0</v>
      </c>
      <c r="J1065" s="51">
        <f t="shared" si="8"/>
        <v>51.599999999999994</v>
      </c>
      <c r="K1065" s="85">
        <f t="shared" si="9"/>
        <v>1.1627906976744187</v>
      </c>
      <c r="L1065" s="86">
        <v>0.6</v>
      </c>
      <c r="M1065" s="53">
        <f t="shared" si="10"/>
        <v>0.6</v>
      </c>
      <c r="N1065" s="53">
        <f t="shared" si="6"/>
        <v>6.1199999999999992</v>
      </c>
      <c r="O1065" s="53">
        <f>+J1065-M1065+N1065</f>
        <v>57.11999999999999</v>
      </c>
      <c r="P1065" s="7" t="s">
        <v>301</v>
      </c>
      <c r="Q1065" s="73" t="s">
        <v>81</v>
      </c>
      <c r="R1065" s="7" t="s">
        <v>25</v>
      </c>
    </row>
    <row r="1066" spans="1:18" x14ac:dyDescent="0.25">
      <c r="B1066" s="2" t="s">
        <v>26</v>
      </c>
      <c r="C1066" s="12" t="s">
        <v>71</v>
      </c>
      <c r="D1066" s="73">
        <v>125</v>
      </c>
      <c r="E1066" s="73"/>
      <c r="F1066" s="43">
        <v>0</v>
      </c>
      <c r="G1066" s="7" t="s">
        <v>298</v>
      </c>
      <c r="H1066" s="51">
        <v>0.38</v>
      </c>
      <c r="I1066" s="51">
        <f t="shared" si="7"/>
        <v>47.5</v>
      </c>
      <c r="J1066" s="51">
        <f t="shared" si="8"/>
        <v>0</v>
      </c>
      <c r="K1066" s="85">
        <f>+L1066*100/I1066</f>
        <v>15.789473684210526</v>
      </c>
      <c r="L1066" s="86">
        <v>7.5</v>
      </c>
      <c r="M1066" s="53">
        <f t="shared" si="10"/>
        <v>7.5</v>
      </c>
      <c r="N1066" s="53">
        <f t="shared" si="6"/>
        <v>0</v>
      </c>
      <c r="O1066" s="53">
        <f>+I1066-M1066+N1066</f>
        <v>40</v>
      </c>
      <c r="P1066" s="7" t="s">
        <v>301</v>
      </c>
      <c r="Q1066" s="73" t="s">
        <v>81</v>
      </c>
      <c r="R1066" s="7" t="s">
        <v>25</v>
      </c>
    </row>
    <row r="1067" spans="1:18" x14ac:dyDescent="0.25">
      <c r="B1067" s="2" t="s">
        <v>27</v>
      </c>
      <c r="C1067" s="3" t="s">
        <v>28</v>
      </c>
      <c r="D1067" s="73">
        <v>750</v>
      </c>
      <c r="E1067" s="73"/>
      <c r="F1067" s="43">
        <v>0</v>
      </c>
      <c r="G1067" s="7" t="s">
        <v>299</v>
      </c>
      <c r="H1067" s="51">
        <v>0.08</v>
      </c>
      <c r="I1067" s="51">
        <f t="shared" si="7"/>
        <v>60</v>
      </c>
      <c r="J1067" s="51">
        <f t="shared" si="8"/>
        <v>0</v>
      </c>
      <c r="K1067" s="85">
        <f>+L1067*100/I1067</f>
        <v>20</v>
      </c>
      <c r="L1067" s="86">
        <v>12</v>
      </c>
      <c r="M1067" s="53">
        <f t="shared" si="10"/>
        <v>12</v>
      </c>
      <c r="N1067" s="53">
        <f t="shared" si="6"/>
        <v>0</v>
      </c>
      <c r="O1067" s="53">
        <f>+I1067-M1067+N1067</f>
        <v>48</v>
      </c>
      <c r="P1067" s="7" t="s">
        <v>301</v>
      </c>
      <c r="Q1067" s="73" t="s">
        <v>81</v>
      </c>
      <c r="R1067" s="7" t="s">
        <v>25</v>
      </c>
    </row>
    <row r="1068" spans="1:18" x14ac:dyDescent="0.25">
      <c r="B1068" s="2" t="s">
        <v>29</v>
      </c>
      <c r="C1068" s="3">
        <v>1</v>
      </c>
      <c r="D1068" s="73">
        <v>1200</v>
      </c>
      <c r="E1068" s="73"/>
      <c r="F1068" s="43">
        <v>0</v>
      </c>
      <c r="G1068" s="7" t="s">
        <v>300</v>
      </c>
      <c r="H1068" s="83">
        <v>0.03</v>
      </c>
      <c r="I1068" s="83">
        <f t="shared" si="7"/>
        <v>36</v>
      </c>
      <c r="J1068" s="83">
        <f t="shared" si="8"/>
        <v>0</v>
      </c>
      <c r="K1068" s="85">
        <f>+L1068*100/I1068</f>
        <v>100</v>
      </c>
      <c r="L1068" s="87">
        <v>36</v>
      </c>
      <c r="M1068" s="53">
        <f t="shared" si="10"/>
        <v>36</v>
      </c>
      <c r="N1068" s="84">
        <f t="shared" si="6"/>
        <v>0</v>
      </c>
      <c r="O1068" s="53">
        <f>+I1068-M1068+N1068</f>
        <v>0</v>
      </c>
      <c r="P1068" s="7" t="s">
        <v>301</v>
      </c>
      <c r="Q1068" s="73" t="s">
        <v>81</v>
      </c>
      <c r="R1068" s="7" t="s">
        <v>25</v>
      </c>
    </row>
    <row r="1069" spans="1:18" x14ac:dyDescent="0.25">
      <c r="B1069" s="2" t="s">
        <v>30</v>
      </c>
      <c r="C1069" s="7">
        <v>1122728319</v>
      </c>
      <c r="D1069" s="73">
        <v>786.37</v>
      </c>
      <c r="E1069" s="73" t="s">
        <v>111</v>
      </c>
      <c r="F1069" s="43">
        <v>0.12</v>
      </c>
      <c r="G1069" s="7" t="s">
        <v>112</v>
      </c>
      <c r="H1069" s="84">
        <v>0.89</v>
      </c>
      <c r="I1069" s="84">
        <f t="shared" si="7"/>
        <v>0</v>
      </c>
      <c r="J1069" s="53">
        <f t="shared" si="8"/>
        <v>699.86930000000007</v>
      </c>
      <c r="K1069" s="85">
        <f t="shared" si="9"/>
        <v>21.122515303928893</v>
      </c>
      <c r="L1069" s="86">
        <v>147.83000000000001</v>
      </c>
      <c r="M1069" s="53">
        <f t="shared" si="10"/>
        <v>147.83000000000001</v>
      </c>
      <c r="N1069" s="53">
        <f t="shared" si="6"/>
        <v>66.244715999999997</v>
      </c>
      <c r="O1069" s="53">
        <f>+J1069-M1069+N1069</f>
        <v>618.28401600000007</v>
      </c>
      <c r="P1069" s="7" t="s">
        <v>45</v>
      </c>
      <c r="Q1069" s="73" t="s">
        <v>46</v>
      </c>
      <c r="R1069" s="7" t="s">
        <v>45</v>
      </c>
    </row>
    <row r="1070" spans="1:18" ht="15.75" thickBot="1" x14ac:dyDescent="0.3">
      <c r="B1070" s="2" t="s">
        <v>31</v>
      </c>
      <c r="C1070" s="14">
        <v>43511</v>
      </c>
      <c r="D1070" s="39" t="s">
        <v>34</v>
      </c>
      <c r="E1070" s="40">
        <f>+SUM(I1063:I1069)</f>
        <v>143.5</v>
      </c>
      <c r="L1070" s="130" t="s">
        <v>310</v>
      </c>
    </row>
    <row r="1071" spans="1:18" ht="15.75" thickBot="1" x14ac:dyDescent="0.3">
      <c r="B1071" s="2" t="s">
        <v>32</v>
      </c>
      <c r="C1071" s="15" t="s">
        <v>33</v>
      </c>
      <c r="D1071" s="16" t="s">
        <v>36</v>
      </c>
      <c r="E1071" s="17">
        <f>+SUM(J1063:J1069)</f>
        <v>935.98930000000007</v>
      </c>
      <c r="L1071" s="130"/>
    </row>
    <row r="1072" spans="1:18" ht="15.75" thickBot="1" x14ac:dyDescent="0.3">
      <c r="B1072" s="2" t="s">
        <v>35</v>
      </c>
      <c r="C1072" s="15" t="s">
        <v>33</v>
      </c>
      <c r="D1072" s="16" t="s">
        <v>39</v>
      </c>
      <c r="E1072" s="17">
        <f>SUM(M1063:M1069)</f>
        <v>237.93</v>
      </c>
      <c r="L1072" s="130"/>
    </row>
    <row r="1073" spans="2:15" ht="15.75" thickBot="1" x14ac:dyDescent="0.3">
      <c r="B1073" s="2" t="s">
        <v>37</v>
      </c>
      <c r="C1073" s="15" t="s">
        <v>372</v>
      </c>
      <c r="D1073" s="16" t="s">
        <v>14</v>
      </c>
      <c r="E1073" s="17">
        <f>SUM(N1063:N1069)</f>
        <v>90.427115999999984</v>
      </c>
      <c r="L1073" s="130"/>
    </row>
    <row r="1074" spans="2:15" ht="15.75" thickBot="1" x14ac:dyDescent="0.3">
      <c r="B1074" s="18"/>
      <c r="C1074" s="18"/>
      <c r="D1074" s="16" t="s">
        <v>15</v>
      </c>
      <c r="E1074" s="17">
        <f>SUM(O1063:O1069)</f>
        <v>931.98641599999996</v>
      </c>
      <c r="L1074" s="130"/>
    </row>
    <row r="1075" spans="2:15" x14ac:dyDescent="0.25">
      <c r="B1075" s="18"/>
      <c r="C1075" s="18"/>
    </row>
    <row r="1076" spans="2:15" x14ac:dyDescent="0.25">
      <c r="B1076" s="18"/>
      <c r="C1076" s="18"/>
    </row>
    <row r="1077" spans="2:15" x14ac:dyDescent="0.25">
      <c r="B1077" s="114" t="s">
        <v>47</v>
      </c>
      <c r="C1077" s="114"/>
      <c r="D1077" s="114"/>
      <c r="E1077" s="114"/>
      <c r="F1077" s="114"/>
      <c r="G1077" s="114"/>
      <c r="H1077" s="114"/>
      <c r="I1077" s="114"/>
      <c r="J1077" s="114"/>
      <c r="K1077" s="114"/>
      <c r="L1077" s="114"/>
      <c r="M1077" s="114"/>
      <c r="N1077" s="114"/>
      <c r="O1077" s="114"/>
    </row>
    <row r="1078" spans="2:15" x14ac:dyDescent="0.25">
      <c r="B1078" s="2" t="s">
        <v>48</v>
      </c>
      <c r="C1078" s="33" t="s">
        <v>33</v>
      </c>
      <c r="D1078" s="19" t="s">
        <v>16</v>
      </c>
      <c r="E1078" s="115" t="s">
        <v>152</v>
      </c>
      <c r="F1078" s="116"/>
      <c r="G1078" s="75" t="s">
        <v>150</v>
      </c>
      <c r="H1078" s="117" t="s">
        <v>49</v>
      </c>
      <c r="I1078" s="118"/>
      <c r="J1078" s="117" t="s">
        <v>151</v>
      </c>
      <c r="K1078" s="118"/>
      <c r="L1078" s="5" t="s">
        <v>50</v>
      </c>
      <c r="M1078" s="5" t="s">
        <v>51</v>
      </c>
      <c r="N1078" s="117" t="s">
        <v>155</v>
      </c>
      <c r="O1078" s="118"/>
    </row>
    <row r="1079" spans="2:15" x14ac:dyDescent="0.25">
      <c r="B1079" s="2" t="s">
        <v>52</v>
      </c>
      <c r="C1079" s="15" t="s">
        <v>33</v>
      </c>
      <c r="D1079" s="73" t="s">
        <v>173</v>
      </c>
      <c r="E1079" s="119" t="s">
        <v>174</v>
      </c>
      <c r="F1079" s="119"/>
      <c r="G1079" s="74">
        <v>729</v>
      </c>
      <c r="H1079" s="120" t="s">
        <v>14</v>
      </c>
      <c r="I1079" s="121"/>
      <c r="J1079" s="122">
        <v>0.7</v>
      </c>
      <c r="K1079" s="123"/>
      <c r="L1079" s="20">
        <f>+E1073*J1079</f>
        <v>63.298981199999986</v>
      </c>
      <c r="M1079" s="124">
        <f>+L1079+L1080</f>
        <v>71.714574199999987</v>
      </c>
      <c r="N1079" s="126">
        <f>+E1074-M1079</f>
        <v>860.27184179999995</v>
      </c>
      <c r="O1079" s="127"/>
    </row>
    <row r="1080" spans="2:15" x14ac:dyDescent="0.25">
      <c r="B1080" s="2" t="s">
        <v>53</v>
      </c>
      <c r="C1080" s="7">
        <v>504</v>
      </c>
      <c r="D1080" s="73" t="s">
        <v>165</v>
      </c>
      <c r="E1080" s="119" t="s">
        <v>168</v>
      </c>
      <c r="F1080" s="119"/>
      <c r="G1080" s="74">
        <v>312</v>
      </c>
      <c r="H1080" s="120" t="s">
        <v>153</v>
      </c>
      <c r="I1080" s="121"/>
      <c r="J1080" s="122">
        <v>0.01</v>
      </c>
      <c r="K1080" s="123"/>
      <c r="L1080" s="20">
        <f>(E1071+E1070-E1072)*J1080</f>
        <v>8.4155930000000012</v>
      </c>
      <c r="M1080" s="125"/>
      <c r="N1080" s="128"/>
      <c r="O1080" s="129"/>
    </row>
    <row r="1081" spans="2:15" x14ac:dyDescent="0.25">
      <c r="B1081" s="2" t="s">
        <v>55</v>
      </c>
      <c r="C1081" s="3" t="str">
        <f>+CONCATENATE(C1071,"-",C1072,"-",C1073)</f>
        <v>001-001-135</v>
      </c>
    </row>
    <row r="1082" spans="2:15" x14ac:dyDescent="0.25">
      <c r="B1082" s="2" t="s">
        <v>57</v>
      </c>
      <c r="C1082" s="21" t="str">
        <f>+C1072</f>
        <v>001</v>
      </c>
    </row>
    <row r="1083" spans="2:15" x14ac:dyDescent="0.25">
      <c r="B1083" s="2" t="s">
        <v>86</v>
      </c>
      <c r="C1083" s="21" t="s">
        <v>143</v>
      </c>
    </row>
    <row r="1084" spans="2:15" x14ac:dyDescent="0.25">
      <c r="B1084" s="2" t="s">
        <v>58</v>
      </c>
      <c r="C1084" s="21" t="s">
        <v>144</v>
      </c>
      <c r="E1084" s="31" t="s">
        <v>279</v>
      </c>
    </row>
    <row r="1085" spans="2:15" x14ac:dyDescent="0.25">
      <c r="B1085" s="2" t="s">
        <v>60</v>
      </c>
      <c r="C1085" s="21" t="s">
        <v>74</v>
      </c>
    </row>
    <row r="1086" spans="2:15" x14ac:dyDescent="0.25">
      <c r="B1086" s="2" t="s">
        <v>61</v>
      </c>
      <c r="C1086" s="89">
        <f>+E1074-M1079</f>
        <v>860.27184179999995</v>
      </c>
    </row>
    <row r="1089" spans="1:18" ht="26.25" x14ac:dyDescent="0.4">
      <c r="A1089" s="88" t="s">
        <v>311</v>
      </c>
      <c r="B1089" s="34" t="s">
        <v>142</v>
      </c>
      <c r="C1089" s="93" t="s">
        <v>313</v>
      </c>
      <c r="D1089" s="137" t="s">
        <v>312</v>
      </c>
      <c r="E1089" s="137"/>
      <c r="F1089" s="137"/>
    </row>
    <row r="1090" spans="1:18" x14ac:dyDescent="0.25">
      <c r="B1090" s="112" t="s">
        <v>5</v>
      </c>
      <c r="C1090" s="113"/>
      <c r="D1090" s="113"/>
      <c r="E1090" s="113"/>
      <c r="F1090" s="113"/>
      <c r="G1090" s="113"/>
      <c r="H1090" s="113"/>
      <c r="I1090" s="113"/>
      <c r="J1090" s="113"/>
      <c r="K1090" s="113"/>
      <c r="L1090" s="113"/>
      <c r="M1090" s="113"/>
      <c r="N1090" s="113"/>
      <c r="O1090" s="113"/>
      <c r="P1090" s="113"/>
      <c r="Q1090" s="113"/>
      <c r="R1090" s="113"/>
    </row>
    <row r="1091" spans="1:18" x14ac:dyDescent="0.25">
      <c r="B1091" s="2" t="s">
        <v>6</v>
      </c>
      <c r="C1091" s="3" t="s">
        <v>67</v>
      </c>
      <c r="D1091" s="76" t="s">
        <v>8</v>
      </c>
      <c r="E1091" s="5" t="s">
        <v>9</v>
      </c>
      <c r="F1091" s="5" t="s">
        <v>14</v>
      </c>
      <c r="G1091" s="5" t="s">
        <v>10</v>
      </c>
      <c r="H1091" s="5" t="s">
        <v>11</v>
      </c>
      <c r="I1091" s="5" t="s">
        <v>148</v>
      </c>
      <c r="J1091" s="5" t="s">
        <v>149</v>
      </c>
      <c r="K1091" s="5" t="s">
        <v>12</v>
      </c>
      <c r="L1091" s="5" t="s">
        <v>13</v>
      </c>
      <c r="M1091" s="5" t="s">
        <v>40</v>
      </c>
      <c r="N1091" s="5" t="s">
        <v>14</v>
      </c>
      <c r="O1091" s="5" t="s">
        <v>15</v>
      </c>
      <c r="P1091" s="5" t="s">
        <v>16</v>
      </c>
      <c r="Q1091" s="5" t="s">
        <v>17</v>
      </c>
      <c r="R1091" s="5" t="s">
        <v>18</v>
      </c>
    </row>
    <row r="1092" spans="1:18" x14ac:dyDescent="0.25">
      <c r="B1092" s="2" t="s">
        <v>19</v>
      </c>
      <c r="C1092" s="15" t="s">
        <v>68</v>
      </c>
      <c r="D1092" s="73">
        <v>400</v>
      </c>
      <c r="E1092" s="73" t="s">
        <v>118</v>
      </c>
      <c r="F1092" s="43">
        <v>0.12</v>
      </c>
      <c r="G1092" s="7" t="s">
        <v>79</v>
      </c>
      <c r="H1092" s="51">
        <v>0.14000000000000001</v>
      </c>
      <c r="I1092" s="51">
        <f>+IF(F1092=0%,D1092*H1092,0)</f>
        <v>0</v>
      </c>
      <c r="J1092" s="51">
        <f>+IF(F1092=12%,D1092*H1092,0)</f>
        <v>56.000000000000007</v>
      </c>
      <c r="K1092" s="85">
        <f>+L1092*100/J1092</f>
        <v>10.714285714285714</v>
      </c>
      <c r="L1092" s="86">
        <v>6</v>
      </c>
      <c r="M1092" s="53">
        <f>+L1092</f>
        <v>6</v>
      </c>
      <c r="N1092" s="53">
        <f t="shared" ref="N1092:N1098" si="11">+(J1092-M1092)*F1092</f>
        <v>6.0000000000000009</v>
      </c>
      <c r="O1092" s="53">
        <f>+J1092-M1092+N1092</f>
        <v>56.000000000000007</v>
      </c>
      <c r="P1092" s="7" t="s">
        <v>301</v>
      </c>
      <c r="Q1092" s="73" t="s">
        <v>81</v>
      </c>
      <c r="R1092" s="7" t="s">
        <v>25</v>
      </c>
    </row>
    <row r="1093" spans="1:18" x14ac:dyDescent="0.25">
      <c r="B1093" s="2" t="s">
        <v>21</v>
      </c>
      <c r="C1093" s="15" t="s">
        <v>22</v>
      </c>
      <c r="D1093" s="73">
        <v>28</v>
      </c>
      <c r="E1093" s="73" t="s">
        <v>119</v>
      </c>
      <c r="F1093" s="43">
        <v>0.12</v>
      </c>
      <c r="G1093" s="7" t="s">
        <v>82</v>
      </c>
      <c r="H1093" s="51">
        <v>4.59</v>
      </c>
      <c r="I1093" s="51">
        <f t="shared" ref="I1093:I1098" si="12">+IF(F1093=0%,D1093*H1093,0)</f>
        <v>0</v>
      </c>
      <c r="J1093" s="51">
        <f t="shared" ref="J1093:J1098" si="13">+IF(F1093=12%,D1093*H1093,0)</f>
        <v>128.51999999999998</v>
      </c>
      <c r="K1093" s="85">
        <f t="shared" ref="K1093:K1098" si="14">+L1093*100/J1093</f>
        <v>21.786492374727672</v>
      </c>
      <c r="L1093" s="86">
        <v>28</v>
      </c>
      <c r="M1093" s="53">
        <f t="shared" ref="M1093:M1098" si="15">+L1093</f>
        <v>28</v>
      </c>
      <c r="N1093" s="53">
        <f t="shared" si="11"/>
        <v>12.062399999999997</v>
      </c>
      <c r="O1093" s="53">
        <f>+J1093-M1093+N1093</f>
        <v>112.58239999999998</v>
      </c>
      <c r="P1093" s="7" t="s">
        <v>301</v>
      </c>
      <c r="Q1093" s="73" t="s">
        <v>81</v>
      </c>
      <c r="R1093" s="7" t="s">
        <v>25</v>
      </c>
    </row>
    <row r="1094" spans="1:18" ht="30" x14ac:dyDescent="0.25">
      <c r="B1094" s="2" t="s">
        <v>23</v>
      </c>
      <c r="C1094" s="30" t="s">
        <v>70</v>
      </c>
      <c r="D1094" s="73">
        <v>24</v>
      </c>
      <c r="E1094" s="73" t="s">
        <v>120</v>
      </c>
      <c r="F1094" s="43">
        <v>0.12</v>
      </c>
      <c r="G1094" s="7" t="s">
        <v>83</v>
      </c>
      <c r="H1094" s="51">
        <v>2.15</v>
      </c>
      <c r="I1094" s="51">
        <f t="shared" si="12"/>
        <v>0</v>
      </c>
      <c r="J1094" s="51">
        <f t="shared" si="13"/>
        <v>51.599999999999994</v>
      </c>
      <c r="K1094" s="85">
        <f t="shared" si="14"/>
        <v>1.1627906976744187</v>
      </c>
      <c r="L1094" s="86">
        <v>0.6</v>
      </c>
      <c r="M1094" s="53">
        <f t="shared" si="15"/>
        <v>0.6</v>
      </c>
      <c r="N1094" s="53">
        <f t="shared" si="11"/>
        <v>6.1199999999999992</v>
      </c>
      <c r="O1094" s="53">
        <f>+J1094-M1094+N1094</f>
        <v>57.11999999999999</v>
      </c>
      <c r="P1094" s="7" t="s">
        <v>301</v>
      </c>
      <c r="Q1094" s="73" t="s">
        <v>81</v>
      </c>
      <c r="R1094" s="7" t="s">
        <v>25</v>
      </c>
    </row>
    <row r="1095" spans="1:18" x14ac:dyDescent="0.25">
      <c r="B1095" s="2" t="s">
        <v>26</v>
      </c>
      <c r="C1095" s="12" t="s">
        <v>71</v>
      </c>
      <c r="D1095" s="73">
        <v>125</v>
      </c>
      <c r="E1095" s="73"/>
      <c r="F1095" s="43">
        <v>0</v>
      </c>
      <c r="G1095" s="7" t="s">
        <v>298</v>
      </c>
      <c r="H1095" s="51">
        <v>0.38</v>
      </c>
      <c r="I1095" s="51">
        <f t="shared" si="12"/>
        <v>47.5</v>
      </c>
      <c r="J1095" s="51">
        <f t="shared" si="13"/>
        <v>0</v>
      </c>
      <c r="K1095" s="85">
        <f>+L1095*100/I1095</f>
        <v>15.789473684210526</v>
      </c>
      <c r="L1095" s="86">
        <v>7.5</v>
      </c>
      <c r="M1095" s="53">
        <f t="shared" si="15"/>
        <v>7.5</v>
      </c>
      <c r="N1095" s="53">
        <f t="shared" si="11"/>
        <v>0</v>
      </c>
      <c r="O1095" s="53">
        <f>+I1095-M1095+N1095</f>
        <v>40</v>
      </c>
      <c r="P1095" s="7" t="s">
        <v>301</v>
      </c>
      <c r="Q1095" s="73" t="s">
        <v>81</v>
      </c>
      <c r="R1095" s="7" t="s">
        <v>25</v>
      </c>
    </row>
    <row r="1096" spans="1:18" x14ac:dyDescent="0.25">
      <c r="B1096" s="2" t="s">
        <v>27</v>
      </c>
      <c r="C1096" s="3" t="s">
        <v>28</v>
      </c>
      <c r="D1096" s="73">
        <v>750</v>
      </c>
      <c r="E1096" s="73"/>
      <c r="F1096" s="43">
        <v>0</v>
      </c>
      <c r="G1096" s="7" t="s">
        <v>299</v>
      </c>
      <c r="H1096" s="51">
        <v>0.08</v>
      </c>
      <c r="I1096" s="51">
        <f t="shared" si="12"/>
        <v>60</v>
      </c>
      <c r="J1096" s="51">
        <f t="shared" si="13"/>
        <v>0</v>
      </c>
      <c r="K1096" s="85">
        <f>+L1096*100/I1096</f>
        <v>20</v>
      </c>
      <c r="L1096" s="86">
        <v>12</v>
      </c>
      <c r="M1096" s="53">
        <f t="shared" si="15"/>
        <v>12</v>
      </c>
      <c r="N1096" s="53">
        <f t="shared" si="11"/>
        <v>0</v>
      </c>
      <c r="O1096" s="53">
        <f>+I1096-M1096+N1096</f>
        <v>48</v>
      </c>
      <c r="P1096" s="7" t="s">
        <v>301</v>
      </c>
      <c r="Q1096" s="73" t="s">
        <v>81</v>
      </c>
      <c r="R1096" s="7" t="s">
        <v>25</v>
      </c>
    </row>
    <row r="1097" spans="1:18" x14ac:dyDescent="0.25">
      <c r="B1097" s="2" t="s">
        <v>29</v>
      </c>
      <c r="C1097" s="3">
        <v>1</v>
      </c>
      <c r="D1097" s="73">
        <v>1200</v>
      </c>
      <c r="E1097" s="73"/>
      <c r="F1097" s="43">
        <v>0</v>
      </c>
      <c r="G1097" s="7" t="s">
        <v>300</v>
      </c>
      <c r="H1097" s="83">
        <v>0.03</v>
      </c>
      <c r="I1097" s="83">
        <f t="shared" si="12"/>
        <v>36</v>
      </c>
      <c r="J1097" s="83">
        <f t="shared" si="13"/>
        <v>0</v>
      </c>
      <c r="K1097" s="85">
        <f>+L1097*100/I1097</f>
        <v>100</v>
      </c>
      <c r="L1097" s="87">
        <v>36</v>
      </c>
      <c r="M1097" s="53">
        <f t="shared" si="15"/>
        <v>36</v>
      </c>
      <c r="N1097" s="84">
        <f t="shared" si="11"/>
        <v>0</v>
      </c>
      <c r="O1097" s="53">
        <f>+I1097-M1097+N1097</f>
        <v>0</v>
      </c>
      <c r="P1097" s="7" t="s">
        <v>301</v>
      </c>
      <c r="Q1097" s="73" t="s">
        <v>81</v>
      </c>
      <c r="R1097" s="7" t="s">
        <v>25</v>
      </c>
    </row>
    <row r="1098" spans="1:18" ht="15.75" thickBot="1" x14ac:dyDescent="0.3">
      <c r="B1098" s="2" t="s">
        <v>30</v>
      </c>
      <c r="C1098" s="7">
        <v>1122728319</v>
      </c>
      <c r="D1098" s="73">
        <v>786.37</v>
      </c>
      <c r="E1098" s="73" t="s">
        <v>111</v>
      </c>
      <c r="F1098" s="43">
        <v>0.12</v>
      </c>
      <c r="G1098" s="7" t="s">
        <v>112</v>
      </c>
      <c r="H1098" s="84">
        <v>0.89</v>
      </c>
      <c r="I1098" s="84">
        <f t="shared" si="12"/>
        <v>0</v>
      </c>
      <c r="J1098" s="53">
        <f t="shared" si="13"/>
        <v>699.86930000000007</v>
      </c>
      <c r="K1098" s="85">
        <f t="shared" si="14"/>
        <v>21.122515303928893</v>
      </c>
      <c r="L1098" s="86">
        <v>147.83000000000001</v>
      </c>
      <c r="M1098" s="53">
        <f t="shared" si="15"/>
        <v>147.83000000000001</v>
      </c>
      <c r="N1098" s="53">
        <f t="shared" si="11"/>
        <v>66.244715999999997</v>
      </c>
      <c r="O1098" s="53">
        <f>+J1098-M1098+N1098</f>
        <v>618.28401600000007</v>
      </c>
      <c r="P1098" s="7" t="s">
        <v>45</v>
      </c>
      <c r="Q1098" s="73" t="s">
        <v>46</v>
      </c>
      <c r="R1098" s="7" t="s">
        <v>45</v>
      </c>
    </row>
    <row r="1099" spans="1:18" ht="15.75" thickBot="1" x14ac:dyDescent="0.3">
      <c r="B1099" s="2" t="s">
        <v>31</v>
      </c>
      <c r="C1099" s="14">
        <v>43511</v>
      </c>
      <c r="D1099" s="16" t="s">
        <v>34</v>
      </c>
      <c r="E1099" s="40">
        <f>+SUM(I1092:I1098)</f>
        <v>143.5</v>
      </c>
      <c r="L1099" s="130" t="s">
        <v>310</v>
      </c>
    </row>
    <row r="1100" spans="1:18" ht="15.75" thickBot="1" x14ac:dyDescent="0.3">
      <c r="B1100" s="2" t="s">
        <v>32</v>
      </c>
      <c r="C1100" s="15" t="s">
        <v>33</v>
      </c>
      <c r="D1100" s="16" t="s">
        <v>36</v>
      </c>
      <c r="E1100" s="17">
        <f>+SUM(J1092:J1098)</f>
        <v>935.98930000000007</v>
      </c>
      <c r="L1100" s="130"/>
    </row>
    <row r="1101" spans="1:18" ht="15.75" thickBot="1" x14ac:dyDescent="0.3">
      <c r="B1101" s="2" t="s">
        <v>35</v>
      </c>
      <c r="C1101" s="15" t="s">
        <v>33</v>
      </c>
      <c r="D1101" s="16" t="s">
        <v>39</v>
      </c>
      <c r="E1101" s="17">
        <f>SUM(M1092:M1098)</f>
        <v>237.93</v>
      </c>
      <c r="L1101" s="130"/>
    </row>
    <row r="1102" spans="1:18" ht="15.75" thickBot="1" x14ac:dyDescent="0.3">
      <c r="B1102" s="2" t="s">
        <v>37</v>
      </c>
      <c r="C1102" s="15" t="s">
        <v>373</v>
      </c>
      <c r="D1102" s="16" t="s">
        <v>14</v>
      </c>
      <c r="E1102" s="17">
        <f>SUM(N1092:N1098)</f>
        <v>90.427115999999984</v>
      </c>
      <c r="L1102" s="130"/>
    </row>
    <row r="1103" spans="1:18" ht="15.75" thickBot="1" x14ac:dyDescent="0.3">
      <c r="B1103" s="18"/>
      <c r="C1103" s="18"/>
      <c r="D1103" s="16" t="s">
        <v>15</v>
      </c>
      <c r="E1103" s="17">
        <f>SUM(O1092:O1098)</f>
        <v>931.98641599999996</v>
      </c>
      <c r="L1103" s="130"/>
    </row>
    <row r="1104" spans="1:18" x14ac:dyDescent="0.25">
      <c r="B1104" s="18"/>
      <c r="C1104" s="18"/>
    </row>
    <row r="1106" spans="2:15" x14ac:dyDescent="0.25">
      <c r="B1106" s="114" t="s">
        <v>47</v>
      </c>
      <c r="C1106" s="114"/>
      <c r="D1106" s="114"/>
      <c r="E1106" s="114"/>
      <c r="F1106" s="114"/>
      <c r="G1106" s="114"/>
      <c r="H1106" s="114"/>
      <c r="I1106" s="114"/>
      <c r="J1106" s="114"/>
      <c r="K1106" s="114"/>
      <c r="L1106" s="114"/>
      <c r="M1106" s="114"/>
      <c r="N1106" s="114"/>
      <c r="O1106" s="114"/>
    </row>
    <row r="1107" spans="2:15" x14ac:dyDescent="0.25">
      <c r="B1107" s="2" t="s">
        <v>48</v>
      </c>
      <c r="C1107" s="33" t="s">
        <v>33</v>
      </c>
      <c r="D1107" s="19" t="s">
        <v>16</v>
      </c>
      <c r="E1107" s="115" t="s">
        <v>152</v>
      </c>
      <c r="F1107" s="116"/>
      <c r="G1107" s="75" t="s">
        <v>150</v>
      </c>
      <c r="H1107" s="117" t="s">
        <v>49</v>
      </c>
      <c r="I1107" s="118"/>
      <c r="J1107" s="117" t="s">
        <v>151</v>
      </c>
      <c r="K1107" s="118"/>
      <c r="L1107" s="5" t="s">
        <v>50</v>
      </c>
      <c r="M1107" s="5" t="s">
        <v>51</v>
      </c>
      <c r="N1107" s="117" t="s">
        <v>155</v>
      </c>
      <c r="O1107" s="118"/>
    </row>
    <row r="1108" spans="2:15" x14ac:dyDescent="0.25">
      <c r="B1108" s="2" t="s">
        <v>52</v>
      </c>
      <c r="C1108" s="15" t="s">
        <v>33</v>
      </c>
      <c r="D1108" s="73" t="s">
        <v>177</v>
      </c>
      <c r="E1108" s="119" t="s">
        <v>178</v>
      </c>
      <c r="F1108" s="119"/>
      <c r="G1108" s="74">
        <v>712</v>
      </c>
      <c r="H1108" s="120" t="s">
        <v>14</v>
      </c>
      <c r="I1108" s="121"/>
      <c r="J1108" s="122">
        <v>0.1</v>
      </c>
      <c r="K1108" s="123"/>
      <c r="L1108" s="20">
        <f>+E1102*J1108</f>
        <v>9.0427115999999987</v>
      </c>
      <c r="M1108" s="124">
        <f>+L1108+L1109</f>
        <v>76.367455600000014</v>
      </c>
      <c r="N1108" s="126">
        <f>+E1103-M1108</f>
        <v>855.61896039999999</v>
      </c>
      <c r="O1108" s="127"/>
    </row>
    <row r="1109" spans="2:15" x14ac:dyDescent="0.25">
      <c r="B1109" s="2" t="s">
        <v>53</v>
      </c>
      <c r="C1109" s="7">
        <v>505</v>
      </c>
      <c r="D1109" s="73" t="s">
        <v>171</v>
      </c>
      <c r="E1109" s="119" t="s">
        <v>172</v>
      </c>
      <c r="F1109" s="119"/>
      <c r="G1109" s="74">
        <v>320</v>
      </c>
      <c r="H1109" s="120" t="s">
        <v>153</v>
      </c>
      <c r="I1109" s="121"/>
      <c r="J1109" s="122">
        <v>0.08</v>
      </c>
      <c r="K1109" s="123"/>
      <c r="L1109" s="20">
        <f>(E1100+E1099-E1101)*J1109</f>
        <v>67.32474400000001</v>
      </c>
      <c r="M1109" s="125"/>
      <c r="N1109" s="128"/>
      <c r="O1109" s="129"/>
    </row>
    <row r="1110" spans="2:15" x14ac:dyDescent="0.25">
      <c r="B1110" s="2" t="s">
        <v>55</v>
      </c>
      <c r="C1110" s="3" t="str">
        <f>+CONCATENATE(C1100,"-",C1101,"-",C1102)</f>
        <v>001-001-136</v>
      </c>
    </row>
    <row r="1111" spans="2:15" x14ac:dyDescent="0.25">
      <c r="B1111" s="2" t="s">
        <v>57</v>
      </c>
      <c r="C1111" s="21" t="str">
        <f>+C1100</f>
        <v>001</v>
      </c>
    </row>
    <row r="1112" spans="2:15" x14ac:dyDescent="0.25">
      <c r="B1112" s="2" t="s">
        <v>86</v>
      </c>
      <c r="C1112" s="21" t="s">
        <v>143</v>
      </c>
      <c r="E1112" s="31" t="s">
        <v>279</v>
      </c>
    </row>
    <row r="1113" spans="2:15" x14ac:dyDescent="0.25">
      <c r="B1113" s="2" t="s">
        <v>58</v>
      </c>
      <c r="C1113" s="21" t="s">
        <v>73</v>
      </c>
    </row>
    <row r="1114" spans="2:15" x14ac:dyDescent="0.25">
      <c r="B1114" s="2" t="s">
        <v>60</v>
      </c>
      <c r="C1114" s="21" t="s">
        <v>74</v>
      </c>
      <c r="D1114" s="73" t="s">
        <v>154</v>
      </c>
    </row>
    <row r="1115" spans="2:15" x14ac:dyDescent="0.25">
      <c r="B1115" s="2" t="s">
        <v>61</v>
      </c>
      <c r="C1115" s="27">
        <f>+(E1103-M1108)*D1115</f>
        <v>256.68568812000001</v>
      </c>
      <c r="D1115" s="43">
        <v>0.3</v>
      </c>
    </row>
    <row r="1116" spans="2:15" x14ac:dyDescent="0.25">
      <c r="B1116" s="2" t="s">
        <v>60</v>
      </c>
      <c r="C1116" s="21" t="s">
        <v>75</v>
      </c>
      <c r="D1116" s="73" t="s">
        <v>154</v>
      </c>
    </row>
    <row r="1117" spans="2:15" x14ac:dyDescent="0.25">
      <c r="B1117" s="2" t="s">
        <v>61</v>
      </c>
      <c r="C1117" s="27">
        <f>+(E1103-M1108)*D1117</f>
        <v>256.68568812000001</v>
      </c>
      <c r="D1117" s="43">
        <v>0.3</v>
      </c>
      <c r="E1117" s="28"/>
      <c r="F1117" s="28"/>
      <c r="H1117" s="23"/>
      <c r="I1117" s="23"/>
      <c r="J1117" s="24"/>
      <c r="K1117" s="24"/>
      <c r="L1117" s="25"/>
      <c r="M1117" s="26"/>
      <c r="N1117" s="22"/>
      <c r="O1117" s="22"/>
    </row>
    <row r="1118" spans="2:15" x14ac:dyDescent="0.25">
      <c r="B1118" s="2" t="s">
        <v>58</v>
      </c>
      <c r="C1118" s="21" t="s">
        <v>76</v>
      </c>
      <c r="D1118" s="73"/>
    </row>
    <row r="1119" spans="2:15" x14ac:dyDescent="0.25">
      <c r="B1119" s="2" t="s">
        <v>60</v>
      </c>
      <c r="C1119" s="21" t="s">
        <v>89</v>
      </c>
      <c r="D1119" s="73" t="s">
        <v>154</v>
      </c>
    </row>
    <row r="1120" spans="2:15" x14ac:dyDescent="0.25">
      <c r="B1120" s="2" t="s">
        <v>61</v>
      </c>
      <c r="C1120" s="27">
        <f>+(E1103-M1108)*D1120</f>
        <v>342.24758416000003</v>
      </c>
      <c r="D1120" s="43">
        <v>0.4</v>
      </c>
    </row>
    <row r="1123" spans="1:18" ht="26.25" x14ac:dyDescent="0.4">
      <c r="A1123" s="88" t="s">
        <v>311</v>
      </c>
      <c r="B1123" s="34" t="s">
        <v>145</v>
      </c>
      <c r="C1123" s="93" t="s">
        <v>314</v>
      </c>
      <c r="D1123" s="137" t="s">
        <v>312</v>
      </c>
      <c r="E1123" s="137"/>
      <c r="F1123" s="137"/>
      <c r="M1123" s="101">
        <f>+J1126-K1126</f>
        <v>45.285714285714292</v>
      </c>
    </row>
    <row r="1124" spans="1:18" x14ac:dyDescent="0.25">
      <c r="B1124" s="112" t="s">
        <v>5</v>
      </c>
      <c r="C1124" s="113"/>
      <c r="D1124" s="113"/>
      <c r="E1124" s="113"/>
      <c r="F1124" s="113"/>
      <c r="G1124" s="113"/>
      <c r="H1124" s="113"/>
      <c r="I1124" s="113"/>
      <c r="J1124" s="113"/>
      <c r="K1124" s="113"/>
      <c r="L1124" s="113"/>
      <c r="M1124" s="113"/>
      <c r="N1124" s="113"/>
      <c r="O1124" s="113"/>
      <c r="P1124" s="113"/>
      <c r="Q1124" s="113"/>
      <c r="R1124" s="113"/>
    </row>
    <row r="1125" spans="1:18" x14ac:dyDescent="0.25">
      <c r="B1125" s="2" t="s">
        <v>6</v>
      </c>
      <c r="C1125" s="3" t="s">
        <v>67</v>
      </c>
      <c r="D1125" s="76" t="s">
        <v>8</v>
      </c>
      <c r="E1125" s="5" t="s">
        <v>9</v>
      </c>
      <c r="F1125" s="5" t="s">
        <v>14</v>
      </c>
      <c r="G1125" s="5" t="s">
        <v>10</v>
      </c>
      <c r="H1125" s="5" t="s">
        <v>11</v>
      </c>
      <c r="I1125" s="5" t="s">
        <v>148</v>
      </c>
      <c r="J1125" s="5" t="s">
        <v>149</v>
      </c>
      <c r="K1125" s="5" t="s">
        <v>12</v>
      </c>
      <c r="L1125" s="5" t="s">
        <v>13</v>
      </c>
      <c r="M1125" s="5" t="s">
        <v>40</v>
      </c>
      <c r="N1125" s="5" t="s">
        <v>14</v>
      </c>
      <c r="O1125" s="5" t="s">
        <v>15</v>
      </c>
      <c r="P1125" s="5" t="s">
        <v>16</v>
      </c>
      <c r="Q1125" s="5" t="s">
        <v>17</v>
      </c>
      <c r="R1125" s="5" t="s">
        <v>18</v>
      </c>
    </row>
    <row r="1126" spans="1:18" x14ac:dyDescent="0.25">
      <c r="B1126" s="2" t="s">
        <v>19</v>
      </c>
      <c r="C1126" s="15" t="s">
        <v>68</v>
      </c>
      <c r="D1126" s="73">
        <v>400</v>
      </c>
      <c r="E1126" s="73" t="s">
        <v>118</v>
      </c>
      <c r="F1126" s="43">
        <v>0.12</v>
      </c>
      <c r="G1126" s="7" t="s">
        <v>79</v>
      </c>
      <c r="H1126" s="51">
        <v>0.14000000000000001</v>
      </c>
      <c r="I1126" s="51">
        <f>+IF(F1126=0%,D1126*H1126,0)</f>
        <v>0</v>
      </c>
      <c r="J1126" s="51">
        <f>+IF(F1126=12%,D1126*H1126,0)</f>
        <v>56.000000000000007</v>
      </c>
      <c r="K1126" s="85">
        <f>+L1126*100/J1126</f>
        <v>10.714285714285714</v>
      </c>
      <c r="L1126" s="86">
        <v>6</v>
      </c>
      <c r="M1126" s="53">
        <f>+L1126</f>
        <v>6</v>
      </c>
      <c r="N1126" s="53">
        <f t="shared" ref="N1126:N1132" si="16">+(J1126-M1126)*F1126</f>
        <v>6.0000000000000009</v>
      </c>
      <c r="O1126" s="53">
        <f>+J1126-M1126+N1126</f>
        <v>56.000000000000007</v>
      </c>
      <c r="P1126" s="7" t="s">
        <v>301</v>
      </c>
      <c r="Q1126" s="73" t="s">
        <v>81</v>
      </c>
      <c r="R1126" s="7" t="s">
        <v>25</v>
      </c>
    </row>
    <row r="1127" spans="1:18" x14ac:dyDescent="0.25">
      <c r="B1127" s="2" t="s">
        <v>21</v>
      </c>
      <c r="C1127" s="15" t="s">
        <v>22</v>
      </c>
      <c r="D1127" s="73">
        <v>28</v>
      </c>
      <c r="E1127" s="73" t="s">
        <v>119</v>
      </c>
      <c r="F1127" s="43">
        <v>0.12</v>
      </c>
      <c r="G1127" s="7" t="s">
        <v>82</v>
      </c>
      <c r="H1127" s="51">
        <v>4.59</v>
      </c>
      <c r="I1127" s="51">
        <f t="shared" ref="I1127:I1132" si="17">+IF(F1127=0%,D1127*H1127,0)</f>
        <v>0</v>
      </c>
      <c r="J1127" s="51">
        <f t="shared" ref="J1127:J1132" si="18">+IF(F1127=12%,D1127*H1127,0)</f>
        <v>128.51999999999998</v>
      </c>
      <c r="K1127" s="85">
        <f t="shared" ref="K1127:K1132" si="19">+L1127*100/J1127</f>
        <v>21.786492374727672</v>
      </c>
      <c r="L1127" s="86">
        <v>28</v>
      </c>
      <c r="M1127" s="53">
        <f t="shared" ref="M1127:M1132" si="20">+L1127</f>
        <v>28</v>
      </c>
      <c r="N1127" s="53">
        <f t="shared" si="16"/>
        <v>12.062399999999997</v>
      </c>
      <c r="O1127" s="53">
        <f>+J1127-M1127+N1127</f>
        <v>112.58239999999998</v>
      </c>
      <c r="P1127" s="7" t="s">
        <v>301</v>
      </c>
      <c r="Q1127" s="73" t="s">
        <v>81</v>
      </c>
      <c r="R1127" s="7" t="s">
        <v>25</v>
      </c>
    </row>
    <row r="1128" spans="1:18" ht="30" x14ac:dyDescent="0.25">
      <c r="B1128" s="2" t="s">
        <v>23</v>
      </c>
      <c r="C1128" s="30" t="s">
        <v>70</v>
      </c>
      <c r="D1128" s="73">
        <v>24</v>
      </c>
      <c r="E1128" s="73" t="s">
        <v>120</v>
      </c>
      <c r="F1128" s="43">
        <v>0.12</v>
      </c>
      <c r="G1128" s="7" t="s">
        <v>83</v>
      </c>
      <c r="H1128" s="51">
        <v>2.15</v>
      </c>
      <c r="I1128" s="51">
        <f t="shared" si="17"/>
        <v>0</v>
      </c>
      <c r="J1128" s="51">
        <f t="shared" si="18"/>
        <v>51.599999999999994</v>
      </c>
      <c r="K1128" s="85">
        <f t="shared" si="19"/>
        <v>1.1627906976744187</v>
      </c>
      <c r="L1128" s="86">
        <v>0.6</v>
      </c>
      <c r="M1128" s="53">
        <f t="shared" si="20"/>
        <v>0.6</v>
      </c>
      <c r="N1128" s="53">
        <f t="shared" si="16"/>
        <v>6.1199999999999992</v>
      </c>
      <c r="O1128" s="53">
        <f>+J1128-M1128+N1128</f>
        <v>57.11999999999999</v>
      </c>
      <c r="P1128" s="7" t="s">
        <v>301</v>
      </c>
      <c r="Q1128" s="73" t="s">
        <v>81</v>
      </c>
      <c r="R1128" s="7" t="s">
        <v>25</v>
      </c>
    </row>
    <row r="1129" spans="1:18" x14ac:dyDescent="0.25">
      <c r="B1129" s="2" t="s">
        <v>26</v>
      </c>
      <c r="C1129" s="12" t="s">
        <v>71</v>
      </c>
      <c r="D1129" s="73">
        <v>125</v>
      </c>
      <c r="E1129" s="73"/>
      <c r="F1129" s="43">
        <v>0</v>
      </c>
      <c r="G1129" s="7" t="s">
        <v>298</v>
      </c>
      <c r="H1129" s="51">
        <v>0.38</v>
      </c>
      <c r="I1129" s="51">
        <f t="shared" si="17"/>
        <v>47.5</v>
      </c>
      <c r="J1129" s="51">
        <f t="shared" si="18"/>
        <v>0</v>
      </c>
      <c r="K1129" s="85">
        <f>+L1129*100/I1129</f>
        <v>15.789473684210526</v>
      </c>
      <c r="L1129" s="86">
        <v>7.5</v>
      </c>
      <c r="M1129" s="53">
        <f t="shared" si="20"/>
        <v>7.5</v>
      </c>
      <c r="N1129" s="53">
        <f t="shared" si="16"/>
        <v>0</v>
      </c>
      <c r="O1129" s="53">
        <f>+I1129-M1129+N1129</f>
        <v>40</v>
      </c>
      <c r="P1129" s="7" t="s">
        <v>301</v>
      </c>
      <c r="Q1129" s="73" t="s">
        <v>81</v>
      </c>
      <c r="R1129" s="7" t="s">
        <v>25</v>
      </c>
    </row>
    <row r="1130" spans="1:18" x14ac:dyDescent="0.25">
      <c r="B1130" s="2" t="s">
        <v>27</v>
      </c>
      <c r="C1130" s="3" t="s">
        <v>28</v>
      </c>
      <c r="D1130" s="73">
        <v>750</v>
      </c>
      <c r="E1130" s="73"/>
      <c r="F1130" s="43">
        <v>0</v>
      </c>
      <c r="G1130" s="7" t="s">
        <v>299</v>
      </c>
      <c r="H1130" s="51">
        <v>0.08</v>
      </c>
      <c r="I1130" s="51">
        <f t="shared" si="17"/>
        <v>60</v>
      </c>
      <c r="J1130" s="51">
        <f t="shared" si="18"/>
        <v>0</v>
      </c>
      <c r="K1130" s="85">
        <f>+L1130*100/I1130</f>
        <v>20</v>
      </c>
      <c r="L1130" s="86">
        <v>12</v>
      </c>
      <c r="M1130" s="53">
        <f t="shared" si="20"/>
        <v>12</v>
      </c>
      <c r="N1130" s="53">
        <f t="shared" si="16"/>
        <v>0</v>
      </c>
      <c r="O1130" s="53">
        <f>+I1130-M1130+N1130</f>
        <v>48</v>
      </c>
      <c r="P1130" s="7" t="s">
        <v>301</v>
      </c>
      <c r="Q1130" s="73" t="s">
        <v>81</v>
      </c>
      <c r="R1130" s="7" t="s">
        <v>25</v>
      </c>
    </row>
    <row r="1131" spans="1:18" x14ac:dyDescent="0.25">
      <c r="B1131" s="2" t="s">
        <v>29</v>
      </c>
      <c r="C1131" s="3">
        <v>1</v>
      </c>
      <c r="D1131" s="73">
        <v>1200</v>
      </c>
      <c r="E1131" s="73"/>
      <c r="F1131" s="43">
        <v>0</v>
      </c>
      <c r="G1131" s="7" t="s">
        <v>300</v>
      </c>
      <c r="H1131" s="83">
        <v>0.03</v>
      </c>
      <c r="I1131" s="83">
        <f t="shared" si="17"/>
        <v>36</v>
      </c>
      <c r="J1131" s="83">
        <f t="shared" si="18"/>
        <v>0</v>
      </c>
      <c r="K1131" s="85">
        <f>+L1131*100/I1131</f>
        <v>100</v>
      </c>
      <c r="L1131" s="87">
        <v>36</v>
      </c>
      <c r="M1131" s="53">
        <f t="shared" si="20"/>
        <v>36</v>
      </c>
      <c r="N1131" s="84">
        <f t="shared" si="16"/>
        <v>0</v>
      </c>
      <c r="O1131" s="53">
        <f>+I1131-M1131+N1131</f>
        <v>0</v>
      </c>
      <c r="P1131" s="7" t="s">
        <v>301</v>
      </c>
      <c r="Q1131" s="73" t="s">
        <v>81</v>
      </c>
      <c r="R1131" s="7" t="s">
        <v>25</v>
      </c>
    </row>
    <row r="1132" spans="1:18" ht="15.75" thickBot="1" x14ac:dyDescent="0.3">
      <c r="B1132" s="2" t="s">
        <v>30</v>
      </c>
      <c r="C1132" s="7">
        <v>1122728319</v>
      </c>
      <c r="D1132" s="73">
        <v>786.37</v>
      </c>
      <c r="E1132" s="73" t="s">
        <v>111</v>
      </c>
      <c r="F1132" s="43">
        <v>0.12</v>
      </c>
      <c r="G1132" s="7" t="s">
        <v>112</v>
      </c>
      <c r="H1132" s="84">
        <v>0.89</v>
      </c>
      <c r="I1132" s="84">
        <f t="shared" si="17"/>
        <v>0</v>
      </c>
      <c r="J1132" s="53">
        <f t="shared" si="18"/>
        <v>699.86930000000007</v>
      </c>
      <c r="K1132" s="85">
        <f t="shared" si="19"/>
        <v>21.122515303928893</v>
      </c>
      <c r="L1132" s="86">
        <v>147.83000000000001</v>
      </c>
      <c r="M1132" s="53">
        <f t="shared" si="20"/>
        <v>147.83000000000001</v>
      </c>
      <c r="N1132" s="53">
        <f t="shared" si="16"/>
        <v>66.244715999999997</v>
      </c>
      <c r="O1132" s="53">
        <f>+J1132-M1132+N1132</f>
        <v>618.28401600000007</v>
      </c>
      <c r="P1132" s="7" t="s">
        <v>45</v>
      </c>
      <c r="Q1132" s="73" t="s">
        <v>46</v>
      </c>
      <c r="R1132" s="7" t="s">
        <v>45</v>
      </c>
    </row>
    <row r="1133" spans="1:18" ht="15.75" thickBot="1" x14ac:dyDescent="0.3">
      <c r="B1133" s="2" t="s">
        <v>31</v>
      </c>
      <c r="C1133" s="14">
        <v>43511</v>
      </c>
      <c r="D1133" s="16" t="s">
        <v>34</v>
      </c>
      <c r="E1133" s="40">
        <f>+SUM(I1126:I1132)</f>
        <v>143.5</v>
      </c>
      <c r="L1133" s="130" t="s">
        <v>310</v>
      </c>
    </row>
    <row r="1134" spans="1:18" ht="15.75" thickBot="1" x14ac:dyDescent="0.3">
      <c r="B1134" s="2" t="s">
        <v>32</v>
      </c>
      <c r="C1134" s="15" t="s">
        <v>33</v>
      </c>
      <c r="D1134" s="16" t="s">
        <v>36</v>
      </c>
      <c r="E1134" s="17">
        <f>+SUM(J1126:J1132)</f>
        <v>935.98930000000007</v>
      </c>
      <c r="L1134" s="130"/>
    </row>
    <row r="1135" spans="1:18" ht="15.75" thickBot="1" x14ac:dyDescent="0.3">
      <c r="B1135" s="2" t="s">
        <v>35</v>
      </c>
      <c r="C1135" s="15" t="s">
        <v>33</v>
      </c>
      <c r="D1135" s="16" t="s">
        <v>39</v>
      </c>
      <c r="E1135" s="17">
        <f>SUM(M1126:M1132)</f>
        <v>237.93</v>
      </c>
      <c r="L1135" s="130"/>
    </row>
    <row r="1136" spans="1:18" ht="15.75" thickBot="1" x14ac:dyDescent="0.3">
      <c r="B1136" s="2" t="s">
        <v>37</v>
      </c>
      <c r="C1136" s="15" t="s">
        <v>374</v>
      </c>
      <c r="D1136" s="16" t="s">
        <v>14</v>
      </c>
      <c r="E1136" s="17">
        <f>SUM(N1126:N1132)</f>
        <v>90.427115999999984</v>
      </c>
      <c r="L1136" s="130"/>
    </row>
    <row r="1137" spans="2:15" ht="15.75" thickBot="1" x14ac:dyDescent="0.3">
      <c r="B1137" s="18"/>
      <c r="C1137" s="18"/>
      <c r="D1137" s="16" t="s">
        <v>15</v>
      </c>
      <c r="E1137" s="17">
        <f>SUM(O1126:O1132)</f>
        <v>931.98641599999996</v>
      </c>
      <c r="L1137" s="130"/>
    </row>
    <row r="1138" spans="2:15" x14ac:dyDescent="0.25">
      <c r="B1138" s="18"/>
      <c r="C1138" s="18"/>
    </row>
    <row r="1140" spans="2:15" x14ac:dyDescent="0.25">
      <c r="B1140" s="114" t="s">
        <v>47</v>
      </c>
      <c r="C1140" s="114"/>
      <c r="D1140" s="114"/>
      <c r="E1140" s="114"/>
      <c r="F1140" s="114"/>
      <c r="G1140" s="114"/>
      <c r="H1140" s="114"/>
      <c r="I1140" s="114"/>
      <c r="J1140" s="114"/>
      <c r="K1140" s="114"/>
      <c r="L1140" s="114"/>
      <c r="M1140" s="114"/>
      <c r="N1140" s="114"/>
      <c r="O1140" s="114"/>
    </row>
    <row r="1141" spans="2:15" x14ac:dyDescent="0.25">
      <c r="B1141" s="2" t="s">
        <v>48</v>
      </c>
      <c r="C1141" s="15" t="s">
        <v>33</v>
      </c>
      <c r="D1141" s="19" t="s">
        <v>16</v>
      </c>
      <c r="E1141" s="115" t="s">
        <v>152</v>
      </c>
      <c r="F1141" s="116"/>
      <c r="G1141" s="75" t="s">
        <v>150</v>
      </c>
      <c r="H1141" s="117" t="s">
        <v>49</v>
      </c>
      <c r="I1141" s="118"/>
      <c r="J1141" s="117" t="s">
        <v>151</v>
      </c>
      <c r="K1141" s="118"/>
      <c r="L1141" s="5" t="s">
        <v>50</v>
      </c>
      <c r="M1141" s="5" t="s">
        <v>51</v>
      </c>
      <c r="N1141" s="117" t="s">
        <v>155</v>
      </c>
      <c r="O1141" s="118"/>
    </row>
    <row r="1142" spans="2:15" x14ac:dyDescent="0.25">
      <c r="B1142" s="2" t="s">
        <v>52</v>
      </c>
      <c r="C1142" s="15" t="s">
        <v>33</v>
      </c>
      <c r="D1142" s="73" t="s">
        <v>181</v>
      </c>
      <c r="E1142" s="119" t="s">
        <v>182</v>
      </c>
      <c r="F1142" s="119"/>
      <c r="G1142" s="74">
        <v>731</v>
      </c>
      <c r="H1142" s="120" t="s">
        <v>14</v>
      </c>
      <c r="I1142" s="121"/>
      <c r="J1142" s="122">
        <v>1</v>
      </c>
      <c r="K1142" s="123"/>
      <c r="L1142" s="20">
        <f>+E1136*J1142</f>
        <v>90.427115999999984</v>
      </c>
      <c r="M1142" s="124">
        <f>+L1142+L1143</f>
        <v>107.25830199999999</v>
      </c>
      <c r="N1142" s="126">
        <f>+E1137-M1142</f>
        <v>824.72811400000001</v>
      </c>
      <c r="O1142" s="127"/>
    </row>
    <row r="1143" spans="2:15" x14ac:dyDescent="0.25">
      <c r="B1143" s="2" t="s">
        <v>53</v>
      </c>
      <c r="C1143" s="15" t="s">
        <v>164</v>
      </c>
      <c r="D1143" s="73" t="s">
        <v>175</v>
      </c>
      <c r="E1143" s="119" t="s">
        <v>176</v>
      </c>
      <c r="F1143" s="119"/>
      <c r="G1143" s="74">
        <v>311</v>
      </c>
      <c r="H1143" s="120" t="s">
        <v>153</v>
      </c>
      <c r="I1143" s="121"/>
      <c r="J1143" s="122">
        <v>0.02</v>
      </c>
      <c r="K1143" s="123"/>
      <c r="L1143" s="20">
        <f>(E1134+E1133-E1135)*J1143</f>
        <v>16.831186000000002</v>
      </c>
      <c r="M1143" s="125"/>
      <c r="N1143" s="128"/>
      <c r="O1143" s="129"/>
    </row>
    <row r="1144" spans="2:15" x14ac:dyDescent="0.25">
      <c r="B1144" s="2" t="s">
        <v>55</v>
      </c>
      <c r="C1144" s="3" t="str">
        <f>+CONCATENATE(C1134,"-",C1135,"-",C1136)</f>
        <v>001-001-137</v>
      </c>
    </row>
    <row r="1145" spans="2:15" x14ac:dyDescent="0.25">
      <c r="B1145" s="2" t="s">
        <v>57</v>
      </c>
      <c r="C1145" s="21">
        <f>+C1133</f>
        <v>43511</v>
      </c>
    </row>
    <row r="1146" spans="2:15" x14ac:dyDescent="0.25">
      <c r="B1146" s="2" t="s">
        <v>86</v>
      </c>
      <c r="C1146" s="21" t="s">
        <v>143</v>
      </c>
    </row>
    <row r="1147" spans="2:15" x14ac:dyDescent="0.25">
      <c r="B1147" s="2" t="s">
        <v>58</v>
      </c>
      <c r="C1147" s="21" t="s">
        <v>73</v>
      </c>
      <c r="E1147" s="31" t="s">
        <v>279</v>
      </c>
    </row>
    <row r="1148" spans="2:15" x14ac:dyDescent="0.25">
      <c r="B1148" s="2" t="s">
        <v>60</v>
      </c>
      <c r="C1148" s="21" t="s">
        <v>74</v>
      </c>
      <c r="D1148" s="73" t="s">
        <v>154</v>
      </c>
    </row>
    <row r="1149" spans="2:15" x14ac:dyDescent="0.25">
      <c r="B1149" s="2" t="s">
        <v>61</v>
      </c>
      <c r="C1149" s="27">
        <f>+(E1137-M1142)*D1149</f>
        <v>494.83686839999996</v>
      </c>
      <c r="D1149" s="43">
        <v>0.6</v>
      </c>
    </row>
    <row r="1150" spans="2:15" x14ac:dyDescent="0.25">
      <c r="B1150" s="2" t="s">
        <v>147</v>
      </c>
      <c r="C1150" s="21" t="s">
        <v>84</v>
      </c>
    </row>
    <row r="1151" spans="2:15" x14ac:dyDescent="0.25">
      <c r="B1151" s="2" t="s">
        <v>60</v>
      </c>
      <c r="C1151" s="21" t="s">
        <v>85</v>
      </c>
      <c r="D1151" s="73" t="s">
        <v>154</v>
      </c>
    </row>
    <row r="1152" spans="2:15" x14ac:dyDescent="0.25">
      <c r="B1152" s="2" t="s">
        <v>61</v>
      </c>
      <c r="C1152" s="27">
        <f>+(E1137-M1142)*D1152</f>
        <v>329.89124560000005</v>
      </c>
      <c r="D1152" s="43">
        <v>0.4</v>
      </c>
    </row>
    <row r="1155" spans="1:18" x14ac:dyDescent="0.25">
      <c r="A1155" s="71"/>
      <c r="B1155" s="71"/>
      <c r="C1155" s="71"/>
      <c r="D1155" s="71"/>
      <c r="E1155" s="71"/>
      <c r="F1155" s="71"/>
      <c r="G1155" s="71"/>
      <c r="H1155" s="71"/>
      <c r="I1155" s="71"/>
      <c r="J1155" s="71"/>
      <c r="K1155" s="71"/>
      <c r="L1155" s="71"/>
      <c r="M1155" s="71"/>
      <c r="N1155" s="71"/>
      <c r="O1155" s="71"/>
      <c r="P1155" s="71"/>
      <c r="Q1155" s="71"/>
      <c r="R1155" s="71"/>
    </row>
    <row r="1156" spans="1:18" ht="26.25" x14ac:dyDescent="0.25">
      <c r="A1156" s="78" t="s">
        <v>302</v>
      </c>
      <c r="B1156" s="78" t="s">
        <v>92</v>
      </c>
      <c r="C1156" s="94" t="s">
        <v>315</v>
      </c>
      <c r="D1156" s="137" t="s">
        <v>321</v>
      </c>
      <c r="E1156" s="137"/>
      <c r="F1156" s="137"/>
    </row>
    <row r="1157" spans="1:18" x14ac:dyDescent="0.25">
      <c r="B1157" s="112" t="s">
        <v>5</v>
      </c>
      <c r="C1157" s="113"/>
      <c r="D1157" s="113"/>
      <c r="E1157" s="113"/>
      <c r="F1157" s="113"/>
      <c r="G1157" s="113"/>
      <c r="H1157" s="113"/>
      <c r="I1157" s="113"/>
      <c r="J1157" s="113"/>
      <c r="K1157" s="113"/>
      <c r="L1157" s="113"/>
      <c r="M1157" s="113"/>
      <c r="N1157" s="113"/>
      <c r="O1157" s="113"/>
      <c r="P1157" s="113"/>
      <c r="Q1157" s="113"/>
      <c r="R1157" s="113"/>
    </row>
    <row r="1158" spans="1:18" x14ac:dyDescent="0.25">
      <c r="B1158" s="2" t="s">
        <v>6</v>
      </c>
      <c r="C1158" s="3" t="s">
        <v>7</v>
      </c>
      <c r="D1158" s="76" t="s">
        <v>8</v>
      </c>
      <c r="E1158" s="5" t="s">
        <v>9</v>
      </c>
      <c r="F1158" s="5" t="s">
        <v>14</v>
      </c>
      <c r="G1158" s="5" t="s">
        <v>10</v>
      </c>
      <c r="H1158" s="5" t="s">
        <v>11</v>
      </c>
      <c r="I1158" s="5" t="s">
        <v>148</v>
      </c>
      <c r="J1158" s="5" t="s">
        <v>149</v>
      </c>
      <c r="K1158" s="5" t="s">
        <v>12</v>
      </c>
      <c r="L1158" s="5" t="s">
        <v>13</v>
      </c>
      <c r="M1158" s="5" t="s">
        <v>40</v>
      </c>
      <c r="N1158" s="5" t="s">
        <v>14</v>
      </c>
      <c r="O1158" s="5" t="s">
        <v>15</v>
      </c>
      <c r="P1158" s="5" t="s">
        <v>16</v>
      </c>
      <c r="Q1158" s="5" t="s">
        <v>17</v>
      </c>
      <c r="R1158" s="5" t="s">
        <v>18</v>
      </c>
    </row>
    <row r="1159" spans="1:18" x14ac:dyDescent="0.25">
      <c r="B1159" s="2" t="s">
        <v>19</v>
      </c>
      <c r="C1159" s="6" t="s">
        <v>20</v>
      </c>
      <c r="D1159" s="73">
        <v>48.26</v>
      </c>
      <c r="E1159" s="73" t="s">
        <v>107</v>
      </c>
      <c r="F1159" s="43">
        <v>0.12</v>
      </c>
      <c r="G1159" s="35" t="s">
        <v>108</v>
      </c>
      <c r="H1159" s="51">
        <v>1.26</v>
      </c>
      <c r="I1159" s="51">
        <f>+IF(F1159=0%,D1159*H1159,0)</f>
        <v>0</v>
      </c>
      <c r="J1159" s="51">
        <f>+IF(F1159=12%,D1159*H1159,0)</f>
        <v>60.807600000000001</v>
      </c>
      <c r="K1159" s="81">
        <f>+$K$1167</f>
        <v>0.27560000000000001</v>
      </c>
      <c r="L1159" s="53">
        <v>0</v>
      </c>
      <c r="M1159" s="53">
        <f>+J1159*K1159</f>
        <v>16.75857456</v>
      </c>
      <c r="N1159" s="53">
        <f>+(J1159-M1159)*F1159</f>
        <v>5.2858830528</v>
      </c>
      <c r="O1159" s="53">
        <f>+J1159-M1159+N1159</f>
        <v>49.334908492800004</v>
      </c>
      <c r="P1159" s="7" t="s">
        <v>45</v>
      </c>
      <c r="Q1159" s="7" t="s">
        <v>46</v>
      </c>
      <c r="R1159" s="7" t="s">
        <v>45</v>
      </c>
    </row>
    <row r="1160" spans="1:18" x14ac:dyDescent="0.25">
      <c r="B1160" s="2" t="s">
        <v>21</v>
      </c>
      <c r="C1160" s="15" t="s">
        <v>22</v>
      </c>
      <c r="D1160" s="73">
        <v>356.48</v>
      </c>
      <c r="E1160" s="73" t="s">
        <v>109</v>
      </c>
      <c r="F1160" s="43">
        <v>0.12</v>
      </c>
      <c r="G1160" s="35" t="s">
        <v>110</v>
      </c>
      <c r="H1160" s="51">
        <v>0.98</v>
      </c>
      <c r="I1160" s="51">
        <f t="shared" ref="I1160:I1165" si="21">+IF(F1160=0%,D1160*H1160,0)</f>
        <v>0</v>
      </c>
      <c r="J1160" s="51">
        <f t="shared" ref="J1160:J1165" si="22">+IF(F1160=12%,D1160*H1160,0)</f>
        <v>349.35040000000004</v>
      </c>
      <c r="K1160" s="81">
        <f t="shared" ref="K1160:K1165" si="23">+$K$1167</f>
        <v>0.27560000000000001</v>
      </c>
      <c r="L1160" s="53">
        <v>0</v>
      </c>
      <c r="M1160" s="53">
        <f>+J1160*K1160</f>
        <v>96.280970240000016</v>
      </c>
      <c r="N1160" s="53">
        <f>+(J1160-M1160)*F1160</f>
        <v>30.368331571200002</v>
      </c>
      <c r="O1160" s="53">
        <f>+J1160-M1160+N1160</f>
        <v>283.43776133120002</v>
      </c>
      <c r="P1160" s="7" t="s">
        <v>45</v>
      </c>
      <c r="Q1160" s="73" t="s">
        <v>46</v>
      </c>
      <c r="R1160" s="7" t="s">
        <v>45</v>
      </c>
    </row>
    <row r="1161" spans="1:18" ht="30" x14ac:dyDescent="0.25">
      <c r="B1161" s="2" t="s">
        <v>23</v>
      </c>
      <c r="C1161" s="8" t="s">
        <v>70</v>
      </c>
      <c r="D1161" s="73">
        <v>277.83</v>
      </c>
      <c r="E1161" s="73" t="s">
        <v>111</v>
      </c>
      <c r="F1161" s="43">
        <v>0.12</v>
      </c>
      <c r="G1161" s="35" t="s">
        <v>112</v>
      </c>
      <c r="H1161" s="51">
        <v>1.25</v>
      </c>
      <c r="I1161" s="51">
        <f t="shared" si="21"/>
        <v>0</v>
      </c>
      <c r="J1161" s="51">
        <f t="shared" si="22"/>
        <v>347.28749999999997</v>
      </c>
      <c r="K1161" s="81">
        <f t="shared" si="23"/>
        <v>0.27560000000000001</v>
      </c>
      <c r="L1161" s="53">
        <v>0</v>
      </c>
      <c r="M1161" s="53">
        <f>+J1161*K1161</f>
        <v>95.712434999999999</v>
      </c>
      <c r="N1161" s="53">
        <f>+(J1161-M1161)*F1161</f>
        <v>30.189007799999995</v>
      </c>
      <c r="O1161" s="53">
        <f>+J1161-M1161+N1161</f>
        <v>281.76407279999995</v>
      </c>
      <c r="P1161" s="7" t="s">
        <v>45</v>
      </c>
      <c r="Q1161" s="73" t="s">
        <v>46</v>
      </c>
      <c r="R1161" s="7" t="s">
        <v>45</v>
      </c>
    </row>
    <row r="1162" spans="1:18" x14ac:dyDescent="0.25">
      <c r="B1162" s="2" t="s">
        <v>26</v>
      </c>
      <c r="C1162" s="12" t="s">
        <v>71</v>
      </c>
      <c r="D1162" s="73">
        <v>1925.36</v>
      </c>
      <c r="E1162" s="73" t="s">
        <v>287</v>
      </c>
      <c r="F1162" s="43">
        <v>0</v>
      </c>
      <c r="G1162" s="35" t="s">
        <v>292</v>
      </c>
      <c r="H1162" s="51">
        <v>0.87</v>
      </c>
      <c r="I1162" s="51">
        <f t="shared" si="21"/>
        <v>1675.0631999999998</v>
      </c>
      <c r="J1162" s="51">
        <f t="shared" si="22"/>
        <v>0</v>
      </c>
      <c r="K1162" s="81">
        <f t="shared" si="23"/>
        <v>0.27560000000000001</v>
      </c>
      <c r="L1162" s="53">
        <v>0</v>
      </c>
      <c r="M1162" s="53">
        <f>+I1162*K1162</f>
        <v>461.64741791999995</v>
      </c>
      <c r="N1162" s="53">
        <f>+(I1162-M1162)*F1162</f>
        <v>0</v>
      </c>
      <c r="O1162" s="53">
        <f>+I1162-M1162</f>
        <v>1213.4157820799999</v>
      </c>
      <c r="P1162" s="7" t="s">
        <v>45</v>
      </c>
      <c r="Q1162" s="73" t="s">
        <v>46</v>
      </c>
      <c r="R1162" s="7" t="s">
        <v>45</v>
      </c>
    </row>
    <row r="1163" spans="1:18" x14ac:dyDescent="0.25">
      <c r="B1163" s="2" t="s">
        <v>27</v>
      </c>
      <c r="C1163" s="3" t="s">
        <v>28</v>
      </c>
      <c r="D1163" s="73">
        <v>14.26</v>
      </c>
      <c r="E1163" s="73" t="s">
        <v>288</v>
      </c>
      <c r="F1163" s="43">
        <v>0</v>
      </c>
      <c r="G1163" s="35" t="s">
        <v>293</v>
      </c>
      <c r="H1163" s="10">
        <v>7.86</v>
      </c>
      <c r="I1163" s="10">
        <f t="shared" si="21"/>
        <v>112.0836</v>
      </c>
      <c r="J1163" s="10">
        <f t="shared" si="22"/>
        <v>0</v>
      </c>
      <c r="K1163" s="81">
        <f t="shared" si="23"/>
        <v>0.27560000000000001</v>
      </c>
      <c r="L1163" s="53">
        <v>0</v>
      </c>
      <c r="M1163" s="53">
        <f>+I1163*K1163</f>
        <v>30.890240160000001</v>
      </c>
      <c r="N1163" s="53">
        <f>+(I1163-M1163)*F1163</f>
        <v>0</v>
      </c>
      <c r="O1163" s="53">
        <f>+I1163-M1163</f>
        <v>81.193359839999999</v>
      </c>
      <c r="P1163" s="7" t="s">
        <v>45</v>
      </c>
      <c r="Q1163" s="73" t="s">
        <v>46</v>
      </c>
      <c r="R1163" s="7" t="s">
        <v>45</v>
      </c>
    </row>
    <row r="1164" spans="1:18" x14ac:dyDescent="0.25">
      <c r="B1164" s="2" t="s">
        <v>29</v>
      </c>
      <c r="C1164" s="3">
        <v>1</v>
      </c>
      <c r="D1164" s="73">
        <v>787.59</v>
      </c>
      <c r="E1164" s="73" t="s">
        <v>289</v>
      </c>
      <c r="F1164" s="43">
        <v>0</v>
      </c>
      <c r="G1164" s="35" t="s">
        <v>294</v>
      </c>
      <c r="H1164" s="10">
        <v>2.14</v>
      </c>
      <c r="I1164" s="10">
        <f t="shared" si="21"/>
        <v>1685.4426000000001</v>
      </c>
      <c r="J1164" s="10">
        <f t="shared" si="22"/>
        <v>0</v>
      </c>
      <c r="K1164" s="81">
        <f t="shared" si="23"/>
        <v>0.27560000000000001</v>
      </c>
      <c r="L1164" s="53">
        <v>0</v>
      </c>
      <c r="M1164" s="53">
        <f>+I1164*K1164</f>
        <v>464.50798056000002</v>
      </c>
      <c r="N1164" s="53">
        <f>+(I1164-M1164)*F1164</f>
        <v>0</v>
      </c>
      <c r="O1164" s="53">
        <f>+I1164-M1164</f>
        <v>1220.93461944</v>
      </c>
      <c r="P1164" s="7" t="s">
        <v>45</v>
      </c>
      <c r="Q1164" s="73" t="s">
        <v>46</v>
      </c>
      <c r="R1164" s="7" t="s">
        <v>45</v>
      </c>
    </row>
    <row r="1165" spans="1:18" x14ac:dyDescent="0.25">
      <c r="B1165" s="2" t="s">
        <v>30</v>
      </c>
      <c r="C1165" s="7">
        <v>1120335551</v>
      </c>
      <c r="D1165" s="80">
        <v>1</v>
      </c>
      <c r="E1165" s="73" t="s">
        <v>114</v>
      </c>
      <c r="F1165" s="43">
        <v>0.12</v>
      </c>
      <c r="G1165" s="73" t="s">
        <v>115</v>
      </c>
      <c r="H1165" s="10">
        <v>240</v>
      </c>
      <c r="I1165" s="10">
        <f t="shared" si="21"/>
        <v>0</v>
      </c>
      <c r="J1165" s="10">
        <f t="shared" si="22"/>
        <v>240</v>
      </c>
      <c r="K1165" s="81">
        <f t="shared" si="23"/>
        <v>0.27560000000000001</v>
      </c>
      <c r="L1165" s="53">
        <v>0</v>
      </c>
      <c r="M1165" s="53">
        <f>+J1165*K1165</f>
        <v>66.144000000000005</v>
      </c>
      <c r="N1165" s="53">
        <f>+(J1165-M1165)*F1165</f>
        <v>20.862719999999999</v>
      </c>
      <c r="O1165" s="53">
        <f>+J1165-M1165</f>
        <v>173.85599999999999</v>
      </c>
      <c r="P1165" s="35" t="s">
        <v>275</v>
      </c>
      <c r="Q1165" s="73" t="s">
        <v>274</v>
      </c>
      <c r="R1165" s="7" t="s">
        <v>25</v>
      </c>
    </row>
    <row r="1166" spans="1:18" ht="15.75" thickBot="1" x14ac:dyDescent="0.3">
      <c r="B1166" s="2" t="s">
        <v>31</v>
      </c>
      <c r="C1166" s="14">
        <v>43511</v>
      </c>
      <c r="D1166" s="39" t="s">
        <v>148</v>
      </c>
      <c r="E1166" s="49">
        <f>+SUM(I1159:I1164)</f>
        <v>3472.5893999999998</v>
      </c>
      <c r="G1166" s="23"/>
      <c r="H1166" s="41"/>
      <c r="I1166" s="41"/>
      <c r="J1166" s="41"/>
      <c r="K1166" s="23"/>
      <c r="L1166" s="41"/>
      <c r="M1166" s="41"/>
      <c r="N1166" s="42"/>
      <c r="O1166" s="23"/>
      <c r="P1166" s="23"/>
      <c r="Q1166" s="22"/>
    </row>
    <row r="1167" spans="1:18" ht="15.75" thickBot="1" x14ac:dyDescent="0.3">
      <c r="B1167" s="2" t="s">
        <v>32</v>
      </c>
      <c r="C1167" s="15" t="s">
        <v>33</v>
      </c>
      <c r="D1167" s="16" t="s">
        <v>36</v>
      </c>
      <c r="E1167" s="50">
        <f>+SUM(J1159:J1164)</f>
        <v>757.44550000000004</v>
      </c>
      <c r="I1167" s="138" t="s">
        <v>322</v>
      </c>
      <c r="J1167" s="138"/>
      <c r="K1167" s="139">
        <v>0.27560000000000001</v>
      </c>
    </row>
    <row r="1168" spans="1:18" ht="15.75" thickBot="1" x14ac:dyDescent="0.3">
      <c r="B1168" s="2" t="s">
        <v>35</v>
      </c>
      <c r="C1168" s="15" t="s">
        <v>33</v>
      </c>
      <c r="D1168" s="16" t="s">
        <v>39</v>
      </c>
      <c r="E1168" s="50">
        <f>SUM(M1159:M1164)</f>
        <v>1165.79761844</v>
      </c>
      <c r="I1168" s="138"/>
      <c r="J1168" s="138"/>
      <c r="K1168" s="139"/>
    </row>
    <row r="1169" spans="1:18" ht="15.75" thickBot="1" x14ac:dyDescent="0.3">
      <c r="B1169" s="2" t="s">
        <v>37</v>
      </c>
      <c r="C1169" s="15" t="s">
        <v>375</v>
      </c>
      <c r="D1169" s="16" t="s">
        <v>14</v>
      </c>
      <c r="E1169" s="50">
        <f>SUM(N1159:N1164)</f>
        <v>65.843222424000004</v>
      </c>
    </row>
    <row r="1170" spans="1:18" ht="15.75" thickBot="1" x14ac:dyDescent="0.3">
      <c r="B1170" s="18"/>
      <c r="C1170" s="18"/>
      <c r="D1170" s="16" t="s">
        <v>15</v>
      </c>
      <c r="E1170" s="50">
        <f>SUM(O1159:O1164)</f>
        <v>3130.0805039839997</v>
      </c>
    </row>
    <row r="1171" spans="1:18" x14ac:dyDescent="0.25">
      <c r="B1171" s="18"/>
      <c r="C1171" s="18"/>
    </row>
    <row r="1172" spans="1:18" x14ac:dyDescent="0.25">
      <c r="B1172" s="18"/>
      <c r="C1172" s="18"/>
    </row>
    <row r="1173" spans="1:18" x14ac:dyDescent="0.25">
      <c r="B1173" s="114" t="s">
        <v>207</v>
      </c>
      <c r="C1173" s="114"/>
      <c r="D1173" s="114"/>
      <c r="E1173" s="114"/>
      <c r="F1173" s="114"/>
      <c r="G1173" s="114"/>
      <c r="H1173" s="114"/>
      <c r="I1173" s="114"/>
      <c r="J1173" s="114"/>
      <c r="K1173" s="114"/>
      <c r="L1173" s="114"/>
      <c r="M1173" s="114"/>
      <c r="N1173" s="114"/>
      <c r="O1173" s="114"/>
    </row>
    <row r="1174" spans="1:18" x14ac:dyDescent="0.25">
      <c r="B1174" s="2" t="s">
        <v>86</v>
      </c>
      <c r="C1174" s="21" t="s">
        <v>87</v>
      </c>
      <c r="D1174" s="22"/>
      <c r="F1174" s="23"/>
      <c r="H1174" s="23"/>
      <c r="I1174" s="23"/>
      <c r="J1174" s="24"/>
      <c r="K1174" s="24"/>
      <c r="L1174" s="25"/>
      <c r="M1174" s="26"/>
      <c r="N1174" s="22"/>
      <c r="O1174" s="22"/>
    </row>
    <row r="1175" spans="1:18" x14ac:dyDescent="0.25">
      <c r="B1175" s="2" t="s">
        <v>59</v>
      </c>
      <c r="C1175" s="21" t="s">
        <v>84</v>
      </c>
      <c r="D1175" s="22"/>
      <c r="E1175" s="23"/>
      <c r="F1175" s="23"/>
      <c r="H1175" s="23"/>
      <c r="I1175" s="23"/>
      <c r="J1175" s="24"/>
      <c r="K1175" s="24"/>
      <c r="L1175" s="25"/>
      <c r="M1175" s="26"/>
      <c r="N1175" s="22"/>
      <c r="O1175" s="22"/>
    </row>
    <row r="1176" spans="1:18" x14ac:dyDescent="0.25">
      <c r="B1176" s="2" t="s">
        <v>60</v>
      </c>
      <c r="C1176" s="21" t="s">
        <v>85</v>
      </c>
      <c r="D1176" s="22"/>
      <c r="E1176" s="28" t="s">
        <v>279</v>
      </c>
      <c r="F1176" s="23"/>
      <c r="H1176" s="23"/>
      <c r="I1176" s="23"/>
      <c r="J1176" s="24"/>
      <c r="K1176" s="24"/>
      <c r="L1176" s="25"/>
      <c r="M1176" s="26"/>
      <c r="N1176" s="22"/>
      <c r="O1176" s="22"/>
    </row>
    <row r="1177" spans="1:18" x14ac:dyDescent="0.25">
      <c r="B1177" s="2" t="s">
        <v>61</v>
      </c>
      <c r="C1177" s="27">
        <f>+E1170</f>
        <v>3130.0805039839997</v>
      </c>
      <c r="D1177" s="22"/>
      <c r="E1177" s="28"/>
      <c r="G1177" s="23"/>
      <c r="H1177" s="24"/>
      <c r="I1177" s="24"/>
      <c r="J1177" s="24"/>
      <c r="K1177" s="25"/>
      <c r="L1177" s="26"/>
      <c r="M1177" s="22"/>
      <c r="N1177" s="22"/>
    </row>
    <row r="1180" spans="1:18" ht="26.25" x14ac:dyDescent="0.25">
      <c r="A1180" s="78" t="s">
        <v>302</v>
      </c>
      <c r="B1180" s="78" t="s">
        <v>93</v>
      </c>
      <c r="C1180" s="94" t="s">
        <v>316</v>
      </c>
      <c r="D1180" s="137" t="s">
        <v>321</v>
      </c>
      <c r="E1180" s="137"/>
      <c r="F1180" s="137"/>
    </row>
    <row r="1181" spans="1:18" x14ac:dyDescent="0.25">
      <c r="B1181" s="112" t="s">
        <v>5</v>
      </c>
      <c r="C1181" s="113"/>
      <c r="D1181" s="113"/>
      <c r="E1181" s="113"/>
      <c r="F1181" s="113"/>
      <c r="G1181" s="113"/>
      <c r="H1181" s="113"/>
      <c r="I1181" s="113"/>
      <c r="J1181" s="113"/>
      <c r="K1181" s="113"/>
      <c r="L1181" s="113"/>
      <c r="M1181" s="113"/>
      <c r="N1181" s="113"/>
      <c r="O1181" s="113"/>
      <c r="P1181" s="113"/>
      <c r="Q1181" s="113"/>
      <c r="R1181" s="113"/>
    </row>
    <row r="1182" spans="1:18" x14ac:dyDescent="0.25">
      <c r="B1182" s="2" t="s">
        <v>6</v>
      </c>
      <c r="C1182" s="3" t="s">
        <v>7</v>
      </c>
      <c r="D1182" s="76" t="s">
        <v>8</v>
      </c>
      <c r="E1182" s="5" t="s">
        <v>9</v>
      </c>
      <c r="F1182" s="5" t="s">
        <v>14</v>
      </c>
      <c r="G1182" s="5" t="s">
        <v>10</v>
      </c>
      <c r="H1182" s="5" t="s">
        <v>11</v>
      </c>
      <c r="I1182" s="5" t="s">
        <v>148</v>
      </c>
      <c r="J1182" s="5" t="s">
        <v>149</v>
      </c>
      <c r="K1182" s="5" t="s">
        <v>12</v>
      </c>
      <c r="L1182" s="5" t="s">
        <v>13</v>
      </c>
      <c r="M1182" s="5" t="s">
        <v>40</v>
      </c>
      <c r="N1182" s="5" t="s">
        <v>14</v>
      </c>
      <c r="O1182" s="5" t="s">
        <v>15</v>
      </c>
      <c r="P1182" s="5" t="s">
        <v>16</v>
      </c>
      <c r="Q1182" s="5" t="s">
        <v>17</v>
      </c>
      <c r="R1182" s="5" t="s">
        <v>18</v>
      </c>
    </row>
    <row r="1183" spans="1:18" x14ac:dyDescent="0.25">
      <c r="B1183" s="2" t="s">
        <v>19</v>
      </c>
      <c r="C1183" s="6" t="s">
        <v>20</v>
      </c>
      <c r="D1183" s="73">
        <v>48.26</v>
      </c>
      <c r="E1183" s="73" t="s">
        <v>107</v>
      </c>
      <c r="F1183" s="43">
        <v>0.12</v>
      </c>
      <c r="G1183" s="35" t="s">
        <v>108</v>
      </c>
      <c r="H1183" s="51">
        <v>1.26</v>
      </c>
      <c r="I1183" s="51">
        <f>+IF(F1183=0%,D1183*H1183,0)</f>
        <v>0</v>
      </c>
      <c r="J1183" s="51">
        <f>+IF(F1183=12%,D1183*H1183,0)</f>
        <v>60.807600000000001</v>
      </c>
      <c r="K1183" s="81">
        <f>+$K$1191</f>
        <v>0.32569999999999999</v>
      </c>
      <c r="L1183" s="53">
        <v>0</v>
      </c>
      <c r="M1183" s="53">
        <f>+J1183*K1183</f>
        <v>19.805035319999998</v>
      </c>
      <c r="N1183" s="53">
        <f>+(J1183-M1183)*F1183</f>
        <v>4.9203077616000002</v>
      </c>
      <c r="O1183" s="53">
        <f>+J1183-M1183+N1183</f>
        <v>45.922872441600006</v>
      </c>
      <c r="P1183" s="7" t="s">
        <v>45</v>
      </c>
      <c r="Q1183" s="7" t="s">
        <v>46</v>
      </c>
      <c r="R1183" s="7" t="s">
        <v>45</v>
      </c>
    </row>
    <row r="1184" spans="1:18" x14ac:dyDescent="0.25">
      <c r="B1184" s="2" t="s">
        <v>21</v>
      </c>
      <c r="C1184" s="15" t="s">
        <v>22</v>
      </c>
      <c r="D1184" s="73">
        <v>356.48</v>
      </c>
      <c r="E1184" s="73" t="s">
        <v>109</v>
      </c>
      <c r="F1184" s="43">
        <v>0.12</v>
      </c>
      <c r="G1184" s="35" t="s">
        <v>110</v>
      </c>
      <c r="H1184" s="51">
        <v>0.98</v>
      </c>
      <c r="I1184" s="51">
        <f t="shared" ref="I1184:I1189" si="24">+IF(F1184=0%,D1184*H1184,0)</f>
        <v>0</v>
      </c>
      <c r="J1184" s="51">
        <f t="shared" ref="J1184:J1189" si="25">+IF(F1184=12%,D1184*H1184,0)</f>
        <v>349.35040000000004</v>
      </c>
      <c r="K1184" s="81">
        <f t="shared" ref="K1184:K1189" si="26">+$K$1191</f>
        <v>0.32569999999999999</v>
      </c>
      <c r="L1184" s="53">
        <v>0</v>
      </c>
      <c r="M1184" s="53">
        <f>+J1184*K1184</f>
        <v>113.78342528</v>
      </c>
      <c r="N1184" s="53">
        <f>+(J1184-M1184)*F1184</f>
        <v>28.2680369664</v>
      </c>
      <c r="O1184" s="53">
        <f>+J1184-M1184+N1184</f>
        <v>263.83501168640004</v>
      </c>
      <c r="P1184" s="7" t="s">
        <v>45</v>
      </c>
      <c r="Q1184" s="73" t="s">
        <v>46</v>
      </c>
      <c r="R1184" s="7" t="s">
        <v>45</v>
      </c>
    </row>
    <row r="1185" spans="2:18" ht="30" x14ac:dyDescent="0.25">
      <c r="B1185" s="2" t="s">
        <v>23</v>
      </c>
      <c r="C1185" s="8" t="s">
        <v>70</v>
      </c>
      <c r="D1185" s="73">
        <v>277.83</v>
      </c>
      <c r="E1185" s="73" t="s">
        <v>111</v>
      </c>
      <c r="F1185" s="43">
        <v>0.12</v>
      </c>
      <c r="G1185" s="35" t="s">
        <v>112</v>
      </c>
      <c r="H1185" s="51">
        <v>1.25</v>
      </c>
      <c r="I1185" s="51">
        <f t="shared" si="24"/>
        <v>0</v>
      </c>
      <c r="J1185" s="51">
        <f t="shared" si="25"/>
        <v>347.28749999999997</v>
      </c>
      <c r="K1185" s="81">
        <f t="shared" si="26"/>
        <v>0.32569999999999999</v>
      </c>
      <c r="L1185" s="53">
        <v>0</v>
      </c>
      <c r="M1185" s="53">
        <f>+J1185*K1185</f>
        <v>113.11153874999998</v>
      </c>
      <c r="N1185" s="53">
        <f>+(J1185-M1185)*F1185</f>
        <v>28.101115350000001</v>
      </c>
      <c r="O1185" s="53">
        <f>+J1185-M1185+N1185</f>
        <v>262.27707659999999</v>
      </c>
      <c r="P1185" s="7" t="s">
        <v>45</v>
      </c>
      <c r="Q1185" s="73" t="s">
        <v>46</v>
      </c>
      <c r="R1185" s="7" t="s">
        <v>45</v>
      </c>
    </row>
    <row r="1186" spans="2:18" x14ac:dyDescent="0.25">
      <c r="B1186" s="2" t="s">
        <v>26</v>
      </c>
      <c r="C1186" s="12" t="s">
        <v>71</v>
      </c>
      <c r="D1186" s="73">
        <v>1925.36</v>
      </c>
      <c r="E1186" s="73" t="s">
        <v>287</v>
      </c>
      <c r="F1186" s="43">
        <v>0</v>
      </c>
      <c r="G1186" s="35" t="s">
        <v>292</v>
      </c>
      <c r="H1186" s="51">
        <v>0.87</v>
      </c>
      <c r="I1186" s="51">
        <f t="shared" si="24"/>
        <v>1675.0631999999998</v>
      </c>
      <c r="J1186" s="51">
        <f t="shared" si="25"/>
        <v>0</v>
      </c>
      <c r="K1186" s="81">
        <f t="shared" si="26"/>
        <v>0.32569999999999999</v>
      </c>
      <c r="L1186" s="53">
        <v>0</v>
      </c>
      <c r="M1186" s="53">
        <f>+I1186*K1186</f>
        <v>545.56808423999996</v>
      </c>
      <c r="N1186" s="53">
        <f>+(I1186-M1186)*F1186</f>
        <v>0</v>
      </c>
      <c r="O1186" s="53">
        <f>+I1186-M1186</f>
        <v>1129.4951157599999</v>
      </c>
      <c r="P1186" s="7" t="s">
        <v>45</v>
      </c>
      <c r="Q1186" s="73" t="s">
        <v>46</v>
      </c>
      <c r="R1186" s="7" t="s">
        <v>45</v>
      </c>
    </row>
    <row r="1187" spans="2:18" x14ac:dyDescent="0.25">
      <c r="B1187" s="2" t="s">
        <v>27</v>
      </c>
      <c r="C1187" s="3" t="s">
        <v>28</v>
      </c>
      <c r="D1187" s="73">
        <v>14.26</v>
      </c>
      <c r="E1187" s="73" t="s">
        <v>288</v>
      </c>
      <c r="F1187" s="43">
        <v>0</v>
      </c>
      <c r="G1187" s="35" t="s">
        <v>293</v>
      </c>
      <c r="H1187" s="10">
        <v>7.86</v>
      </c>
      <c r="I1187" s="10">
        <f t="shared" si="24"/>
        <v>112.0836</v>
      </c>
      <c r="J1187" s="10">
        <f t="shared" si="25"/>
        <v>0</v>
      </c>
      <c r="K1187" s="81">
        <f t="shared" si="26"/>
        <v>0.32569999999999999</v>
      </c>
      <c r="L1187" s="53">
        <v>0</v>
      </c>
      <c r="M1187" s="53">
        <f>+I1187*K1187</f>
        <v>36.505628520000002</v>
      </c>
      <c r="N1187" s="53">
        <f>+(I1187-M1187)*F1187</f>
        <v>0</v>
      </c>
      <c r="O1187" s="53">
        <f>+I1187-M1187</f>
        <v>75.577971480000002</v>
      </c>
      <c r="P1187" s="7" t="s">
        <v>45</v>
      </c>
      <c r="Q1187" s="73" t="s">
        <v>46</v>
      </c>
      <c r="R1187" s="7" t="s">
        <v>45</v>
      </c>
    </row>
    <row r="1188" spans="2:18" x14ac:dyDescent="0.25">
      <c r="B1188" s="2" t="s">
        <v>29</v>
      </c>
      <c r="C1188" s="3">
        <v>1</v>
      </c>
      <c r="D1188" s="73">
        <v>787.59</v>
      </c>
      <c r="E1188" s="73" t="s">
        <v>289</v>
      </c>
      <c r="F1188" s="43">
        <v>0</v>
      </c>
      <c r="G1188" s="35" t="s">
        <v>294</v>
      </c>
      <c r="H1188" s="10">
        <v>2.14</v>
      </c>
      <c r="I1188" s="10">
        <f t="shared" si="24"/>
        <v>1685.4426000000001</v>
      </c>
      <c r="J1188" s="10">
        <f t="shared" si="25"/>
        <v>0</v>
      </c>
      <c r="K1188" s="81">
        <f t="shared" si="26"/>
        <v>0.32569999999999999</v>
      </c>
      <c r="L1188" s="53">
        <v>0</v>
      </c>
      <c r="M1188" s="53">
        <f>+I1188*K1188</f>
        <v>548.94865482</v>
      </c>
      <c r="N1188" s="53">
        <f>+(I1188-M1188)*F1188</f>
        <v>0</v>
      </c>
      <c r="O1188" s="53">
        <f>+I1188-M1188</f>
        <v>1136.4939451800001</v>
      </c>
      <c r="P1188" s="7" t="s">
        <v>45</v>
      </c>
      <c r="Q1188" s="73" t="s">
        <v>46</v>
      </c>
      <c r="R1188" s="7" t="s">
        <v>45</v>
      </c>
    </row>
    <row r="1189" spans="2:18" x14ac:dyDescent="0.25">
      <c r="B1189" s="2" t="s">
        <v>30</v>
      </c>
      <c r="C1189" s="7">
        <v>1120335551</v>
      </c>
      <c r="D1189" s="80">
        <v>1</v>
      </c>
      <c r="E1189" s="73" t="s">
        <v>114</v>
      </c>
      <c r="F1189" s="43">
        <v>0.12</v>
      </c>
      <c r="G1189" s="73" t="s">
        <v>115</v>
      </c>
      <c r="H1189" s="10">
        <v>240</v>
      </c>
      <c r="I1189" s="10">
        <f t="shared" si="24"/>
        <v>0</v>
      </c>
      <c r="J1189" s="10">
        <f t="shared" si="25"/>
        <v>240</v>
      </c>
      <c r="K1189" s="81">
        <f t="shared" si="26"/>
        <v>0.32569999999999999</v>
      </c>
      <c r="L1189" s="53">
        <v>0</v>
      </c>
      <c r="M1189" s="53">
        <f>+J1189*K1189</f>
        <v>78.167999999999992</v>
      </c>
      <c r="N1189" s="53">
        <f>+(J1189-M1189)*F1189</f>
        <v>19.419839999999997</v>
      </c>
      <c r="O1189" s="53">
        <f>+J1189-M1189</f>
        <v>161.83199999999999</v>
      </c>
      <c r="P1189" s="35" t="s">
        <v>275</v>
      </c>
      <c r="Q1189" s="73" t="s">
        <v>274</v>
      </c>
      <c r="R1189" s="7" t="s">
        <v>25</v>
      </c>
    </row>
    <row r="1190" spans="2:18" ht="15.75" thickBot="1" x14ac:dyDescent="0.3">
      <c r="B1190" s="2" t="s">
        <v>31</v>
      </c>
      <c r="C1190" s="14">
        <v>43511</v>
      </c>
      <c r="D1190" s="39" t="s">
        <v>148</v>
      </c>
      <c r="E1190" s="49">
        <f>+SUM(I1183:I1188)</f>
        <v>3472.5893999999998</v>
      </c>
      <c r="G1190" s="23"/>
      <c r="H1190" s="41"/>
      <c r="I1190" s="41"/>
      <c r="J1190" s="41"/>
      <c r="K1190" s="23"/>
      <c r="L1190" s="41"/>
      <c r="M1190" s="41"/>
      <c r="N1190" s="42"/>
      <c r="O1190" s="23"/>
      <c r="P1190" s="23"/>
      <c r="Q1190" s="22"/>
    </row>
    <row r="1191" spans="2:18" ht="15.75" thickBot="1" x14ac:dyDescent="0.3">
      <c r="B1191" s="2" t="s">
        <v>32</v>
      </c>
      <c r="C1191" s="15" t="s">
        <v>33</v>
      </c>
      <c r="D1191" s="16" t="s">
        <v>36</v>
      </c>
      <c r="E1191" s="50">
        <f>+SUM(J1183:J1188)</f>
        <v>757.44550000000004</v>
      </c>
      <c r="I1191" s="138" t="s">
        <v>322</v>
      </c>
      <c r="J1191" s="138"/>
      <c r="K1191" s="139">
        <v>0.32569999999999999</v>
      </c>
    </row>
    <row r="1192" spans="2:18" ht="15.75" thickBot="1" x14ac:dyDescent="0.3">
      <c r="B1192" s="2" t="s">
        <v>35</v>
      </c>
      <c r="C1192" s="15" t="s">
        <v>33</v>
      </c>
      <c r="D1192" s="16" t="s">
        <v>39</v>
      </c>
      <c r="E1192" s="50">
        <f>SUM(M1183:M1188)</f>
        <v>1377.7223669299999</v>
      </c>
      <c r="I1192" s="138"/>
      <c r="J1192" s="138"/>
      <c r="K1192" s="139"/>
    </row>
    <row r="1193" spans="2:18" ht="15.75" thickBot="1" x14ac:dyDescent="0.3">
      <c r="B1193" s="2" t="s">
        <v>37</v>
      </c>
      <c r="C1193" s="15" t="s">
        <v>376</v>
      </c>
      <c r="D1193" s="16" t="s">
        <v>14</v>
      </c>
      <c r="E1193" s="50">
        <f>SUM(N1183:N1188)</f>
        <v>61.289460078000005</v>
      </c>
    </row>
    <row r="1194" spans="2:18" ht="15.75" thickBot="1" x14ac:dyDescent="0.3">
      <c r="B1194" s="18"/>
      <c r="C1194" s="18"/>
      <c r="D1194" s="16" t="s">
        <v>15</v>
      </c>
      <c r="E1194" s="50">
        <f>SUM(O1183:O1188)</f>
        <v>2913.601993148</v>
      </c>
    </row>
    <row r="1195" spans="2:18" x14ac:dyDescent="0.25">
      <c r="B1195" s="18"/>
      <c r="C1195" s="18"/>
    </row>
    <row r="1196" spans="2:18" x14ac:dyDescent="0.25">
      <c r="B1196" s="18"/>
      <c r="C1196" s="18"/>
    </row>
    <row r="1197" spans="2:18" x14ac:dyDescent="0.25">
      <c r="B1197" s="114" t="s">
        <v>207</v>
      </c>
      <c r="C1197" s="114"/>
      <c r="D1197" s="114"/>
      <c r="E1197" s="114"/>
      <c r="F1197" s="114"/>
      <c r="G1197" s="114"/>
      <c r="H1197" s="114"/>
      <c r="I1197" s="114"/>
      <c r="J1197" s="114"/>
      <c r="K1197" s="114"/>
      <c r="L1197" s="114"/>
      <c r="M1197" s="114"/>
      <c r="N1197" s="114"/>
      <c r="O1197" s="114"/>
    </row>
    <row r="1198" spans="2:18" x14ac:dyDescent="0.25">
      <c r="B1198" s="2" t="s">
        <v>86</v>
      </c>
      <c r="C1198" s="21" t="s">
        <v>87</v>
      </c>
      <c r="D1198" s="22"/>
      <c r="F1198" s="23"/>
      <c r="H1198" s="23"/>
      <c r="I1198" s="23"/>
      <c r="J1198" s="24"/>
      <c r="K1198" s="24"/>
      <c r="L1198" s="25"/>
      <c r="M1198" s="26"/>
      <c r="N1198" s="22"/>
      <c r="O1198" s="22"/>
    </row>
    <row r="1199" spans="2:18" x14ac:dyDescent="0.25">
      <c r="B1199" s="2" t="s">
        <v>59</v>
      </c>
      <c r="C1199" s="21" t="s">
        <v>88</v>
      </c>
      <c r="D1199" s="22"/>
      <c r="E1199" s="23"/>
      <c r="F1199" s="23"/>
      <c r="H1199" s="23"/>
      <c r="I1199" s="23"/>
      <c r="J1199" s="24"/>
      <c r="K1199" s="24"/>
      <c r="L1199" s="25"/>
      <c r="M1199" s="26"/>
      <c r="N1199" s="22"/>
      <c r="O1199" s="22"/>
    </row>
    <row r="1200" spans="2:18" x14ac:dyDescent="0.25">
      <c r="B1200" s="2" t="s">
        <v>60</v>
      </c>
      <c r="C1200" s="21" t="s">
        <v>89</v>
      </c>
      <c r="D1200" s="22"/>
      <c r="E1200" s="28" t="s">
        <v>279</v>
      </c>
      <c r="F1200" s="23"/>
      <c r="H1200" s="23"/>
      <c r="I1200" s="23"/>
      <c r="J1200" s="24"/>
      <c r="K1200" s="24"/>
      <c r="L1200" s="25"/>
      <c r="M1200" s="26"/>
      <c r="N1200" s="22"/>
      <c r="O1200" s="22"/>
    </row>
    <row r="1201" spans="1:18" x14ac:dyDescent="0.25">
      <c r="B1201" s="2" t="s">
        <v>61</v>
      </c>
      <c r="C1201" s="27">
        <f>+E1194</f>
        <v>2913.601993148</v>
      </c>
      <c r="D1201" s="22"/>
      <c r="E1201" s="28"/>
      <c r="G1201" s="23"/>
      <c r="H1201" s="24"/>
      <c r="I1201" s="24"/>
      <c r="J1201" s="24"/>
      <c r="K1201" s="25"/>
      <c r="L1201" s="26"/>
      <c r="M1201" s="22"/>
      <c r="N1201" s="22"/>
    </row>
    <row r="1204" spans="1:18" ht="26.25" x14ac:dyDescent="0.4">
      <c r="A1204" s="78" t="s">
        <v>302</v>
      </c>
      <c r="B1204" s="34" t="s">
        <v>94</v>
      </c>
      <c r="C1204" s="93" t="s">
        <v>317</v>
      </c>
      <c r="D1204" s="137" t="s">
        <v>321</v>
      </c>
      <c r="E1204" s="137"/>
      <c r="F1204" s="137"/>
    </row>
    <row r="1205" spans="1:18" x14ac:dyDescent="0.25">
      <c r="B1205" s="112" t="s">
        <v>5</v>
      </c>
      <c r="C1205" s="113"/>
      <c r="D1205" s="113"/>
      <c r="E1205" s="113"/>
      <c r="F1205" s="113"/>
      <c r="G1205" s="113"/>
      <c r="H1205" s="113"/>
      <c r="I1205" s="113"/>
      <c r="J1205" s="113"/>
      <c r="K1205" s="113"/>
      <c r="L1205" s="113"/>
      <c r="M1205" s="113"/>
      <c r="N1205" s="113"/>
      <c r="O1205" s="113"/>
      <c r="P1205" s="113"/>
      <c r="Q1205" s="113"/>
      <c r="R1205" s="113"/>
    </row>
    <row r="1206" spans="1:18" x14ac:dyDescent="0.25">
      <c r="B1206" s="2" t="s">
        <v>6</v>
      </c>
      <c r="C1206" s="3" t="s">
        <v>7</v>
      </c>
      <c r="D1206" s="76" t="s">
        <v>8</v>
      </c>
      <c r="E1206" s="5" t="s">
        <v>9</v>
      </c>
      <c r="F1206" s="5" t="s">
        <v>14</v>
      </c>
      <c r="G1206" s="5" t="s">
        <v>10</v>
      </c>
      <c r="H1206" s="5" t="s">
        <v>11</v>
      </c>
      <c r="I1206" s="5" t="s">
        <v>148</v>
      </c>
      <c r="J1206" s="5" t="s">
        <v>149</v>
      </c>
      <c r="K1206" s="5" t="s">
        <v>12</v>
      </c>
      <c r="L1206" s="5" t="s">
        <v>13</v>
      </c>
      <c r="M1206" s="5" t="s">
        <v>40</v>
      </c>
      <c r="N1206" s="5" t="s">
        <v>14</v>
      </c>
      <c r="O1206" s="5" t="s">
        <v>15</v>
      </c>
      <c r="P1206" s="5" t="s">
        <v>16</v>
      </c>
      <c r="Q1206" s="5" t="s">
        <v>17</v>
      </c>
      <c r="R1206" s="5" t="s">
        <v>18</v>
      </c>
    </row>
    <row r="1207" spans="1:18" x14ac:dyDescent="0.25">
      <c r="B1207" s="2" t="s">
        <v>19</v>
      </c>
      <c r="C1207" s="6" t="s">
        <v>20</v>
      </c>
      <c r="D1207" s="73">
        <v>48.26</v>
      </c>
      <c r="E1207" s="73" t="s">
        <v>107</v>
      </c>
      <c r="F1207" s="43">
        <v>0.12</v>
      </c>
      <c r="G1207" s="35" t="s">
        <v>108</v>
      </c>
      <c r="H1207" s="51">
        <v>1.26</v>
      </c>
      <c r="I1207" s="51">
        <f>+IF(F1207=0%,D1207*H1207,0)</f>
        <v>0</v>
      </c>
      <c r="J1207" s="51">
        <f>+IF(F1207=12%,D1207*H1207,0)</f>
        <v>60.807600000000001</v>
      </c>
      <c r="K1207" s="81">
        <f>+$K$1215</f>
        <v>0.27772999999999998</v>
      </c>
      <c r="L1207" s="53">
        <v>0</v>
      </c>
      <c r="M1207" s="53">
        <f>+J1207*K1207</f>
        <v>16.888094748</v>
      </c>
      <c r="N1207" s="53">
        <f>+(J1207-M1207)*F1207</f>
        <v>5.2703406302399998</v>
      </c>
      <c r="O1207" s="53">
        <f>+J1207-M1207+N1207</f>
        <v>49.18984588224</v>
      </c>
      <c r="P1207" s="7" t="s">
        <v>45</v>
      </c>
      <c r="Q1207" s="7" t="s">
        <v>46</v>
      </c>
      <c r="R1207" s="7" t="s">
        <v>45</v>
      </c>
    </row>
    <row r="1208" spans="1:18" x14ac:dyDescent="0.25">
      <c r="B1208" s="2" t="s">
        <v>21</v>
      </c>
      <c r="C1208" s="15" t="s">
        <v>22</v>
      </c>
      <c r="D1208" s="73">
        <v>356.48</v>
      </c>
      <c r="E1208" s="73" t="s">
        <v>109</v>
      </c>
      <c r="F1208" s="43">
        <v>0.12</v>
      </c>
      <c r="G1208" s="35" t="s">
        <v>110</v>
      </c>
      <c r="H1208" s="51">
        <v>0.98</v>
      </c>
      <c r="I1208" s="51">
        <f t="shared" ref="I1208:I1213" si="27">+IF(F1208=0%,D1208*H1208,0)</f>
        <v>0</v>
      </c>
      <c r="J1208" s="51">
        <f t="shared" ref="J1208:J1213" si="28">+IF(F1208=12%,D1208*H1208,0)</f>
        <v>349.35040000000004</v>
      </c>
      <c r="K1208" s="81">
        <f t="shared" ref="K1208:K1213" si="29">+$K$1215</f>
        <v>0.27772999999999998</v>
      </c>
      <c r="L1208" s="53">
        <v>0</v>
      </c>
      <c r="M1208" s="53">
        <f>+J1208*K1208</f>
        <v>97.025086592000008</v>
      </c>
      <c r="N1208" s="53">
        <f>+(J1208-M1208)*F1208</f>
        <v>30.279037608960003</v>
      </c>
      <c r="O1208" s="53">
        <f>+J1208-M1208+N1208</f>
        <v>282.60435101696004</v>
      </c>
      <c r="P1208" s="7" t="s">
        <v>45</v>
      </c>
      <c r="Q1208" s="73" t="s">
        <v>46</v>
      </c>
      <c r="R1208" s="7" t="s">
        <v>45</v>
      </c>
    </row>
    <row r="1209" spans="1:18" ht="30" x14ac:dyDescent="0.25">
      <c r="B1209" s="2" t="s">
        <v>23</v>
      </c>
      <c r="C1209" s="30" t="s">
        <v>70</v>
      </c>
      <c r="D1209" s="73">
        <v>277.83</v>
      </c>
      <c r="E1209" s="73" t="s">
        <v>111</v>
      </c>
      <c r="F1209" s="43">
        <v>0.12</v>
      </c>
      <c r="G1209" s="35" t="s">
        <v>112</v>
      </c>
      <c r="H1209" s="51">
        <v>1.25</v>
      </c>
      <c r="I1209" s="51">
        <f t="shared" si="27"/>
        <v>0</v>
      </c>
      <c r="J1209" s="51">
        <f t="shared" si="28"/>
        <v>347.28749999999997</v>
      </c>
      <c r="K1209" s="81">
        <f t="shared" si="29"/>
        <v>0.27772999999999998</v>
      </c>
      <c r="L1209" s="53">
        <v>0</v>
      </c>
      <c r="M1209" s="53">
        <f>+J1209*K1209</f>
        <v>96.452157374999985</v>
      </c>
      <c r="N1209" s="53">
        <f>+(J1209-M1209)*F1209</f>
        <v>30.100241114999996</v>
      </c>
      <c r="O1209" s="53">
        <f>+J1209-M1209+N1209</f>
        <v>280.93558373999997</v>
      </c>
      <c r="P1209" s="7" t="s">
        <v>45</v>
      </c>
      <c r="Q1209" s="73" t="s">
        <v>46</v>
      </c>
      <c r="R1209" s="7" t="s">
        <v>45</v>
      </c>
    </row>
    <row r="1210" spans="1:18" x14ac:dyDescent="0.25">
      <c r="B1210" s="2" t="s">
        <v>26</v>
      </c>
      <c r="C1210" s="12" t="s">
        <v>71</v>
      </c>
      <c r="D1210" s="73">
        <v>1925.36</v>
      </c>
      <c r="E1210" s="73" t="s">
        <v>287</v>
      </c>
      <c r="F1210" s="43">
        <v>0</v>
      </c>
      <c r="G1210" s="35" t="s">
        <v>292</v>
      </c>
      <c r="H1210" s="51">
        <v>0.87</v>
      </c>
      <c r="I1210" s="51">
        <f t="shared" si="27"/>
        <v>1675.0631999999998</v>
      </c>
      <c r="J1210" s="51">
        <f t="shared" si="28"/>
        <v>0</v>
      </c>
      <c r="K1210" s="81">
        <f t="shared" si="29"/>
        <v>0.27772999999999998</v>
      </c>
      <c r="L1210" s="53">
        <v>0</v>
      </c>
      <c r="M1210" s="53">
        <f>+I1210*K1210</f>
        <v>465.21530253599991</v>
      </c>
      <c r="N1210" s="53">
        <f>+(I1210-M1210)*F1210</f>
        <v>0</v>
      </c>
      <c r="O1210" s="53">
        <f>+I1210-M1210</f>
        <v>1209.847897464</v>
      </c>
      <c r="P1210" s="7" t="s">
        <v>45</v>
      </c>
      <c r="Q1210" s="73" t="s">
        <v>46</v>
      </c>
      <c r="R1210" s="7" t="s">
        <v>45</v>
      </c>
    </row>
    <row r="1211" spans="1:18" x14ac:dyDescent="0.25">
      <c r="B1211" s="2" t="s">
        <v>27</v>
      </c>
      <c r="C1211" s="3" t="s">
        <v>28</v>
      </c>
      <c r="D1211" s="73">
        <v>14.26</v>
      </c>
      <c r="E1211" s="73" t="s">
        <v>288</v>
      </c>
      <c r="F1211" s="43">
        <v>0</v>
      </c>
      <c r="G1211" s="35" t="s">
        <v>293</v>
      </c>
      <c r="H1211" s="10">
        <v>7.86</v>
      </c>
      <c r="I1211" s="10">
        <f t="shared" si="27"/>
        <v>112.0836</v>
      </c>
      <c r="J1211" s="10">
        <f t="shared" si="28"/>
        <v>0</v>
      </c>
      <c r="K1211" s="81">
        <f t="shared" si="29"/>
        <v>0.27772999999999998</v>
      </c>
      <c r="L1211" s="53">
        <v>0</v>
      </c>
      <c r="M1211" s="53">
        <f>+I1211*K1211</f>
        <v>31.128978227999998</v>
      </c>
      <c r="N1211" s="53">
        <f>+(I1211-M1211)*F1211</f>
        <v>0</v>
      </c>
      <c r="O1211" s="53">
        <f>+I1211-M1211</f>
        <v>80.95462177200001</v>
      </c>
      <c r="P1211" s="7" t="s">
        <v>45</v>
      </c>
      <c r="Q1211" s="73" t="s">
        <v>46</v>
      </c>
      <c r="R1211" s="7" t="s">
        <v>45</v>
      </c>
    </row>
    <row r="1212" spans="1:18" x14ac:dyDescent="0.25">
      <c r="B1212" s="2" t="s">
        <v>29</v>
      </c>
      <c r="C1212" s="3">
        <v>1</v>
      </c>
      <c r="D1212" s="73">
        <v>787.59</v>
      </c>
      <c r="E1212" s="73" t="s">
        <v>289</v>
      </c>
      <c r="F1212" s="43">
        <v>0</v>
      </c>
      <c r="G1212" s="35" t="s">
        <v>294</v>
      </c>
      <c r="H1212" s="10">
        <v>2.14</v>
      </c>
      <c r="I1212" s="10">
        <f t="shared" si="27"/>
        <v>1685.4426000000001</v>
      </c>
      <c r="J1212" s="10">
        <f t="shared" si="28"/>
        <v>0</v>
      </c>
      <c r="K1212" s="81">
        <f t="shared" si="29"/>
        <v>0.27772999999999998</v>
      </c>
      <c r="L1212" s="53">
        <v>0</v>
      </c>
      <c r="M1212" s="53">
        <f>+I1212*K1212</f>
        <v>468.097973298</v>
      </c>
      <c r="N1212" s="53">
        <f>+(I1212-M1212)*F1212</f>
        <v>0</v>
      </c>
      <c r="O1212" s="53">
        <f>+I1212-M1212</f>
        <v>1217.3446267020001</v>
      </c>
      <c r="P1212" s="7" t="s">
        <v>45</v>
      </c>
      <c r="Q1212" s="73" t="s">
        <v>46</v>
      </c>
      <c r="R1212" s="7" t="s">
        <v>45</v>
      </c>
    </row>
    <row r="1213" spans="1:18" ht="15.75" thickBot="1" x14ac:dyDescent="0.3">
      <c r="B1213" s="2" t="s">
        <v>30</v>
      </c>
      <c r="C1213" s="7">
        <v>1120335551</v>
      </c>
      <c r="D1213" s="80">
        <v>1</v>
      </c>
      <c r="E1213" s="73" t="s">
        <v>114</v>
      </c>
      <c r="F1213" s="43">
        <v>0.12</v>
      </c>
      <c r="G1213" s="73" t="s">
        <v>115</v>
      </c>
      <c r="H1213" s="10">
        <v>240</v>
      </c>
      <c r="I1213" s="10">
        <f t="shared" si="27"/>
        <v>0</v>
      </c>
      <c r="J1213" s="10">
        <f t="shared" si="28"/>
        <v>240</v>
      </c>
      <c r="K1213" s="81">
        <f t="shared" si="29"/>
        <v>0.27772999999999998</v>
      </c>
      <c r="L1213" s="53">
        <v>0</v>
      </c>
      <c r="M1213" s="53">
        <f>+J1213*K1213</f>
        <v>66.655199999999994</v>
      </c>
      <c r="N1213" s="53">
        <f>+(J1213-M1213)*F1213</f>
        <v>20.801376000000001</v>
      </c>
      <c r="O1213" s="53">
        <f>+J1213-M1213</f>
        <v>173.34480000000002</v>
      </c>
      <c r="P1213" s="35" t="s">
        <v>275</v>
      </c>
      <c r="Q1213" s="73" t="s">
        <v>274</v>
      </c>
      <c r="R1213" s="7" t="s">
        <v>25</v>
      </c>
    </row>
    <row r="1214" spans="1:18" ht="15.75" thickBot="1" x14ac:dyDescent="0.3">
      <c r="B1214" s="2" t="s">
        <v>31</v>
      </c>
      <c r="C1214" s="14">
        <v>43511</v>
      </c>
      <c r="D1214" s="16" t="s">
        <v>34</v>
      </c>
      <c r="E1214" s="40">
        <f>+SUM(I1207:I1210)</f>
        <v>1675.0631999999998</v>
      </c>
    </row>
    <row r="1215" spans="1:18" ht="15.75" thickBot="1" x14ac:dyDescent="0.3">
      <c r="B1215" s="2" t="s">
        <v>32</v>
      </c>
      <c r="C1215" s="15" t="s">
        <v>33</v>
      </c>
      <c r="D1215" s="16" t="s">
        <v>36</v>
      </c>
      <c r="E1215" s="17">
        <f>+SUM(J1207:J1212)</f>
        <v>757.44550000000004</v>
      </c>
      <c r="I1215" s="138" t="s">
        <v>322</v>
      </c>
      <c r="J1215" s="138"/>
      <c r="K1215" s="139">
        <v>0.27772999999999998</v>
      </c>
    </row>
    <row r="1216" spans="1:18" ht="15.75" thickBot="1" x14ac:dyDescent="0.3">
      <c r="B1216" s="2" t="s">
        <v>35</v>
      </c>
      <c r="C1216" s="15" t="s">
        <v>33</v>
      </c>
      <c r="D1216" s="16" t="s">
        <v>39</v>
      </c>
      <c r="E1216" s="17">
        <f>SUM(M1207:M1212)</f>
        <v>1174.8075927769999</v>
      </c>
      <c r="I1216" s="138"/>
      <c r="J1216" s="138"/>
      <c r="K1216" s="139"/>
    </row>
    <row r="1217" spans="1:18" ht="15.75" thickBot="1" x14ac:dyDescent="0.3">
      <c r="B1217" s="2" t="s">
        <v>37</v>
      </c>
      <c r="C1217" s="15" t="s">
        <v>271</v>
      </c>
      <c r="D1217" s="16" t="s">
        <v>14</v>
      </c>
      <c r="E1217" s="17">
        <f>SUM(N1207:N1212)</f>
        <v>65.649619354199999</v>
      </c>
    </row>
    <row r="1218" spans="1:18" ht="15.75" thickBot="1" x14ac:dyDescent="0.3">
      <c r="B1218" s="18"/>
      <c r="C1218" s="18"/>
      <c r="D1218" s="16" t="s">
        <v>15</v>
      </c>
      <c r="E1218" s="17">
        <f>SUM(O1207:O1212)</f>
        <v>3120.8769265772003</v>
      </c>
    </row>
    <row r="1220" spans="1:18" x14ac:dyDescent="0.25">
      <c r="B1220" s="114" t="s">
        <v>207</v>
      </c>
      <c r="C1220" s="114"/>
      <c r="D1220" s="114"/>
      <c r="E1220" s="114"/>
      <c r="F1220" s="114"/>
      <c r="G1220" s="114"/>
      <c r="H1220" s="114"/>
      <c r="I1220" s="114"/>
      <c r="J1220" s="114"/>
      <c r="K1220" s="114"/>
      <c r="L1220" s="114"/>
      <c r="M1220" s="114"/>
      <c r="N1220" s="114"/>
      <c r="O1220" s="114"/>
    </row>
    <row r="1221" spans="1:18" x14ac:dyDescent="0.25">
      <c r="B1221" s="2" t="s">
        <v>86</v>
      </c>
      <c r="C1221" s="21" t="s">
        <v>87</v>
      </c>
    </row>
    <row r="1222" spans="1:18" x14ac:dyDescent="0.25">
      <c r="B1222" s="2" t="s">
        <v>59</v>
      </c>
      <c r="C1222" s="21" t="s">
        <v>90</v>
      </c>
    </row>
    <row r="1223" spans="1:18" x14ac:dyDescent="0.25">
      <c r="B1223" s="2" t="s">
        <v>60</v>
      </c>
      <c r="C1223" s="21" t="s">
        <v>91</v>
      </c>
      <c r="E1223" s="31" t="s">
        <v>279</v>
      </c>
    </row>
    <row r="1224" spans="1:18" x14ac:dyDescent="0.25">
      <c r="B1224" s="2" t="s">
        <v>61</v>
      </c>
      <c r="C1224" s="27">
        <f>+E1218</f>
        <v>3120.8769265772003</v>
      </c>
    </row>
    <row r="1227" spans="1:18" ht="26.25" x14ac:dyDescent="0.4">
      <c r="A1227" s="88" t="s">
        <v>311</v>
      </c>
      <c r="B1227" s="34" t="s">
        <v>140</v>
      </c>
      <c r="C1227" s="93" t="s">
        <v>318</v>
      </c>
      <c r="D1227" s="137" t="s">
        <v>323</v>
      </c>
      <c r="E1227" s="137"/>
      <c r="F1227" s="137"/>
    </row>
    <row r="1228" spans="1:18" x14ac:dyDescent="0.25">
      <c r="B1228" s="112" t="s">
        <v>5</v>
      </c>
      <c r="C1228" s="113"/>
      <c r="D1228" s="113"/>
      <c r="E1228" s="113"/>
      <c r="F1228" s="113"/>
      <c r="G1228" s="113"/>
      <c r="H1228" s="113"/>
      <c r="I1228" s="113"/>
      <c r="J1228" s="113"/>
      <c r="K1228" s="113"/>
      <c r="L1228" s="113"/>
      <c r="M1228" s="113"/>
      <c r="N1228" s="113"/>
      <c r="O1228" s="113"/>
      <c r="P1228" s="113"/>
      <c r="Q1228" s="113"/>
      <c r="R1228" s="113"/>
    </row>
    <row r="1229" spans="1:18" x14ac:dyDescent="0.25">
      <c r="B1229" s="2" t="s">
        <v>6</v>
      </c>
      <c r="C1229" s="3" t="s">
        <v>67</v>
      </c>
      <c r="D1229" s="76" t="s">
        <v>8</v>
      </c>
      <c r="E1229" s="5" t="s">
        <v>9</v>
      </c>
      <c r="F1229" s="5" t="s">
        <v>14</v>
      </c>
      <c r="G1229" s="5" t="s">
        <v>10</v>
      </c>
      <c r="H1229" s="5" t="s">
        <v>11</v>
      </c>
      <c r="I1229" s="5" t="s">
        <v>148</v>
      </c>
      <c r="J1229" s="5" t="s">
        <v>149</v>
      </c>
      <c r="K1229" s="5" t="s">
        <v>12</v>
      </c>
      <c r="L1229" s="5" t="s">
        <v>13</v>
      </c>
      <c r="M1229" s="5" t="s">
        <v>40</v>
      </c>
      <c r="N1229" s="5" t="s">
        <v>14</v>
      </c>
      <c r="O1229" s="5" t="s">
        <v>15</v>
      </c>
      <c r="P1229" s="5" t="s">
        <v>16</v>
      </c>
      <c r="Q1229" s="5" t="s">
        <v>17</v>
      </c>
      <c r="R1229" s="5" t="s">
        <v>18</v>
      </c>
    </row>
    <row r="1230" spans="1:18" x14ac:dyDescent="0.25">
      <c r="B1230" s="2" t="s">
        <v>19</v>
      </c>
      <c r="C1230" s="15" t="s">
        <v>68</v>
      </c>
      <c r="D1230" s="73">
        <v>400</v>
      </c>
      <c r="E1230" s="73" t="s">
        <v>118</v>
      </c>
      <c r="F1230" s="43">
        <v>0.12</v>
      </c>
      <c r="G1230" s="7" t="s">
        <v>79</v>
      </c>
      <c r="H1230" s="51">
        <v>0.14000000000000001</v>
      </c>
      <c r="I1230" s="51">
        <f>+IF(F1230=0%,D1230*H1230,0)</f>
        <v>0</v>
      </c>
      <c r="J1230" s="51">
        <f>+IF(F1230=12%,D1230*H1230,0)</f>
        <v>56.000000000000007</v>
      </c>
      <c r="K1230" s="85">
        <f>+L1230*100/J1230</f>
        <v>13.895459640035337</v>
      </c>
      <c r="L1230" s="86">
        <f>$L$1238/($E$1237+$E$1238)*J1230</f>
        <v>7.7814573984197901</v>
      </c>
      <c r="M1230" s="53">
        <f>+L1230</f>
        <v>7.7814573984197901</v>
      </c>
      <c r="N1230" s="53">
        <f t="shared" ref="N1230:N1236" si="30">+(J1230-M1230)*F1230</f>
        <v>5.7862251121896255</v>
      </c>
      <c r="O1230" s="53">
        <f>+J1230-M1230+N1230</f>
        <v>54.004767713769844</v>
      </c>
      <c r="P1230" s="7" t="s">
        <v>301</v>
      </c>
      <c r="Q1230" s="73" t="s">
        <v>81</v>
      </c>
      <c r="R1230" s="7" t="s">
        <v>25</v>
      </c>
    </row>
    <row r="1231" spans="1:18" x14ac:dyDescent="0.25">
      <c r="B1231" s="2" t="s">
        <v>21</v>
      </c>
      <c r="C1231" s="15" t="s">
        <v>22</v>
      </c>
      <c r="D1231" s="73">
        <v>28</v>
      </c>
      <c r="E1231" s="73" t="s">
        <v>119</v>
      </c>
      <c r="F1231" s="43">
        <v>0.12</v>
      </c>
      <c r="G1231" s="7" t="s">
        <v>82</v>
      </c>
      <c r="H1231" s="51">
        <v>4.59</v>
      </c>
      <c r="I1231" s="51">
        <f t="shared" ref="I1231:I1236" si="31">+IF(F1231=0%,D1231*H1231,0)</f>
        <v>0</v>
      </c>
      <c r="J1231" s="51">
        <f t="shared" ref="J1231:J1236" si="32">+IF(F1231=12%,D1231*H1231,0)</f>
        <v>128.51999999999998</v>
      </c>
      <c r="K1231" s="85">
        <f>+L1231*100/J1231</f>
        <v>13.895459640035337</v>
      </c>
      <c r="L1231" s="86">
        <f t="shared" ref="L1231:L1236" si="33">$L$1238/($E$1237+$E$1238)*J1231</f>
        <v>17.858444729373414</v>
      </c>
      <c r="M1231" s="53">
        <f t="shared" ref="M1231:M1236" si="34">+L1231</f>
        <v>17.858444729373414</v>
      </c>
      <c r="N1231" s="53">
        <f t="shared" si="30"/>
        <v>13.279386632475187</v>
      </c>
      <c r="O1231" s="53">
        <f>+J1231-M1231+N1231</f>
        <v>123.94094190310176</v>
      </c>
      <c r="P1231" s="7" t="s">
        <v>301</v>
      </c>
      <c r="Q1231" s="73" t="s">
        <v>81</v>
      </c>
      <c r="R1231" s="7" t="s">
        <v>25</v>
      </c>
    </row>
    <row r="1232" spans="1:18" ht="30" x14ac:dyDescent="0.25">
      <c r="B1232" s="2" t="s">
        <v>23</v>
      </c>
      <c r="C1232" s="30" t="s">
        <v>70</v>
      </c>
      <c r="D1232" s="73">
        <v>24</v>
      </c>
      <c r="E1232" s="73" t="s">
        <v>120</v>
      </c>
      <c r="F1232" s="43">
        <v>0.12</v>
      </c>
      <c r="G1232" s="7" t="s">
        <v>83</v>
      </c>
      <c r="H1232" s="51">
        <v>2.15</v>
      </c>
      <c r="I1232" s="51">
        <f t="shared" si="31"/>
        <v>0</v>
      </c>
      <c r="J1232" s="51">
        <f t="shared" si="32"/>
        <v>51.599999999999994</v>
      </c>
      <c r="K1232" s="85">
        <f>+L1232*100/J1232</f>
        <v>13.895459640035339</v>
      </c>
      <c r="L1232" s="86">
        <f t="shared" si="33"/>
        <v>7.1700571742582335</v>
      </c>
      <c r="M1232" s="53">
        <f t="shared" si="34"/>
        <v>7.1700571742582335</v>
      </c>
      <c r="N1232" s="53">
        <f t="shared" si="30"/>
        <v>5.3315931390890112</v>
      </c>
      <c r="O1232" s="53">
        <f>+J1232-M1232+N1232</f>
        <v>49.76153596483077</v>
      </c>
      <c r="P1232" s="7" t="s">
        <v>301</v>
      </c>
      <c r="Q1232" s="73" t="s">
        <v>81</v>
      </c>
      <c r="R1232" s="7" t="s">
        <v>25</v>
      </c>
    </row>
    <row r="1233" spans="2:18" x14ac:dyDescent="0.25">
      <c r="B1233" s="2" t="s">
        <v>26</v>
      </c>
      <c r="C1233" s="12" t="s">
        <v>71</v>
      </c>
      <c r="D1233" s="73">
        <v>125</v>
      </c>
      <c r="E1233" s="73"/>
      <c r="F1233" s="43">
        <v>0</v>
      </c>
      <c r="G1233" s="7" t="s">
        <v>298</v>
      </c>
      <c r="H1233" s="51">
        <v>0.38</v>
      </c>
      <c r="I1233" s="51">
        <f t="shared" si="31"/>
        <v>47.5</v>
      </c>
      <c r="J1233" s="51">
        <f t="shared" si="32"/>
        <v>0</v>
      </c>
      <c r="K1233" s="85">
        <f>+L1233*100/I1233</f>
        <v>13.895459640035336</v>
      </c>
      <c r="L1233" s="86">
        <f>$L$1238/($E$1237+$E$1238)*I1233</f>
        <v>6.600343329016785</v>
      </c>
      <c r="M1233" s="53">
        <f t="shared" si="34"/>
        <v>6.600343329016785</v>
      </c>
      <c r="N1233" s="53">
        <f t="shared" si="30"/>
        <v>0</v>
      </c>
      <c r="O1233" s="53">
        <f>+I1233-M1233+N1233</f>
        <v>40.899656670983212</v>
      </c>
      <c r="P1233" s="7" t="s">
        <v>301</v>
      </c>
      <c r="Q1233" s="73" t="s">
        <v>81</v>
      </c>
      <c r="R1233" s="7" t="s">
        <v>25</v>
      </c>
    </row>
    <row r="1234" spans="2:18" x14ac:dyDescent="0.25">
      <c r="B1234" s="2" t="s">
        <v>27</v>
      </c>
      <c r="C1234" s="3" t="s">
        <v>28</v>
      </c>
      <c r="D1234" s="73">
        <v>750</v>
      </c>
      <c r="E1234" s="73"/>
      <c r="F1234" s="43">
        <v>0</v>
      </c>
      <c r="G1234" s="7" t="s">
        <v>299</v>
      </c>
      <c r="H1234" s="51">
        <v>0.08</v>
      </c>
      <c r="I1234" s="51">
        <f t="shared" si="31"/>
        <v>60</v>
      </c>
      <c r="J1234" s="51">
        <f t="shared" si="32"/>
        <v>0</v>
      </c>
      <c r="K1234" s="85">
        <f>+L1234*100/I1234</f>
        <v>13.895459640035336</v>
      </c>
      <c r="L1234" s="86">
        <f>$L$1238/($E$1237+$E$1238)*I1234</f>
        <v>8.3372757840212017</v>
      </c>
      <c r="M1234" s="53">
        <f t="shared" si="34"/>
        <v>8.3372757840212017</v>
      </c>
      <c r="N1234" s="53">
        <f t="shared" si="30"/>
        <v>0</v>
      </c>
      <c r="O1234" s="53">
        <f>+I1234-M1234+N1234</f>
        <v>51.662724215978798</v>
      </c>
      <c r="P1234" s="7" t="s">
        <v>301</v>
      </c>
      <c r="Q1234" s="73" t="s">
        <v>81</v>
      </c>
      <c r="R1234" s="7" t="s">
        <v>25</v>
      </c>
    </row>
    <row r="1235" spans="2:18" x14ac:dyDescent="0.25">
      <c r="B1235" s="2" t="s">
        <v>29</v>
      </c>
      <c r="C1235" s="3">
        <v>1</v>
      </c>
      <c r="D1235" s="73">
        <v>1200</v>
      </c>
      <c r="E1235" s="73"/>
      <c r="F1235" s="43">
        <v>0</v>
      </c>
      <c r="G1235" s="7" t="s">
        <v>300</v>
      </c>
      <c r="H1235" s="83">
        <v>0.03</v>
      </c>
      <c r="I1235" s="83">
        <f t="shared" si="31"/>
        <v>36</v>
      </c>
      <c r="J1235" s="83">
        <f t="shared" si="32"/>
        <v>0</v>
      </c>
      <c r="K1235" s="85">
        <f>+L1235*100/I1235</f>
        <v>13.895459640035337</v>
      </c>
      <c r="L1235" s="86">
        <f>$L$1238/($E$1237+$E$1238)*I1235</f>
        <v>5.0023654704127214</v>
      </c>
      <c r="M1235" s="53">
        <f t="shared" si="34"/>
        <v>5.0023654704127214</v>
      </c>
      <c r="N1235" s="84">
        <f t="shared" si="30"/>
        <v>0</v>
      </c>
      <c r="O1235" s="53">
        <f>+I1235-M1235+N1235</f>
        <v>30.99763452958728</v>
      </c>
      <c r="P1235" s="7" t="s">
        <v>301</v>
      </c>
      <c r="Q1235" s="73" t="s">
        <v>81</v>
      </c>
      <c r="R1235" s="7" t="s">
        <v>25</v>
      </c>
    </row>
    <row r="1236" spans="2:18" x14ac:dyDescent="0.25">
      <c r="B1236" s="2" t="s">
        <v>30</v>
      </c>
      <c r="C1236" s="7">
        <v>1122728319</v>
      </c>
      <c r="D1236" s="73">
        <v>786.37</v>
      </c>
      <c r="E1236" s="73" t="s">
        <v>111</v>
      </c>
      <c r="F1236" s="43">
        <v>0.12</v>
      </c>
      <c r="G1236" s="7" t="s">
        <v>112</v>
      </c>
      <c r="H1236" s="84">
        <v>0.89</v>
      </c>
      <c r="I1236" s="84">
        <f t="shared" si="31"/>
        <v>0</v>
      </c>
      <c r="J1236" s="53">
        <f t="shared" si="32"/>
        <v>699.86930000000007</v>
      </c>
      <c r="K1236" s="85">
        <f>+L1236*100/J1236</f>
        <v>13.895459640035339</v>
      </c>
      <c r="L1236" s="86">
        <f t="shared" si="33"/>
        <v>97.250056114497852</v>
      </c>
      <c r="M1236" s="53">
        <f t="shared" si="34"/>
        <v>97.250056114497852</v>
      </c>
      <c r="N1236" s="53">
        <f t="shared" si="30"/>
        <v>72.314309266260267</v>
      </c>
      <c r="O1236" s="53">
        <f>+J1236-M1236+N1236</f>
        <v>674.93355315176245</v>
      </c>
      <c r="P1236" s="7" t="s">
        <v>45</v>
      </c>
      <c r="Q1236" s="73" t="s">
        <v>46</v>
      </c>
      <c r="R1236" s="7" t="s">
        <v>45</v>
      </c>
    </row>
    <row r="1237" spans="2:18" ht="15.75" thickBot="1" x14ac:dyDescent="0.3">
      <c r="B1237" s="2" t="s">
        <v>31</v>
      </c>
      <c r="C1237" s="14">
        <v>43511</v>
      </c>
      <c r="D1237" s="39" t="s">
        <v>34</v>
      </c>
      <c r="E1237" s="40">
        <f>+SUM(I1230:I1236)</f>
        <v>143.5</v>
      </c>
      <c r="L1237" s="92"/>
    </row>
    <row r="1238" spans="2:18" ht="15.75" thickBot="1" x14ac:dyDescent="0.3">
      <c r="B1238" s="2" t="s">
        <v>32</v>
      </c>
      <c r="C1238" s="15" t="s">
        <v>33</v>
      </c>
      <c r="D1238" s="16" t="s">
        <v>36</v>
      </c>
      <c r="E1238" s="17">
        <f>+SUM(J1230:J1236)</f>
        <v>935.98930000000007</v>
      </c>
      <c r="J1238" s="138" t="s">
        <v>324</v>
      </c>
      <c r="K1238" s="138"/>
      <c r="L1238" s="140">
        <v>150</v>
      </c>
    </row>
    <row r="1239" spans="2:18" ht="15.75" thickBot="1" x14ac:dyDescent="0.3">
      <c r="B1239" s="2" t="s">
        <v>35</v>
      </c>
      <c r="C1239" s="15" t="s">
        <v>33</v>
      </c>
      <c r="D1239" s="16" t="s">
        <v>39</v>
      </c>
      <c r="E1239" s="17">
        <f>SUM(M1230:M1236)</f>
        <v>150</v>
      </c>
      <c r="G1239" s="90"/>
      <c r="J1239" s="138"/>
      <c r="K1239" s="138"/>
      <c r="L1239" s="140"/>
    </row>
    <row r="1240" spans="2:18" ht="15.75" thickBot="1" x14ac:dyDescent="0.3">
      <c r="B1240" s="2" t="s">
        <v>37</v>
      </c>
      <c r="C1240" s="15" t="s">
        <v>377</v>
      </c>
      <c r="D1240" s="16" t="s">
        <v>14</v>
      </c>
      <c r="E1240" s="17">
        <f>SUM(N1230:N1236)</f>
        <v>96.711514150014096</v>
      </c>
      <c r="G1240" s="91"/>
    </row>
    <row r="1241" spans="2:18" ht="15.75" thickBot="1" x14ac:dyDescent="0.3">
      <c r="B1241" s="18"/>
      <c r="C1241" s="18"/>
      <c r="D1241" s="16" t="s">
        <v>15</v>
      </c>
      <c r="E1241" s="17">
        <f>SUM(O1230:O1236)</f>
        <v>1026.2008141500141</v>
      </c>
    </row>
    <row r="1242" spans="2:18" x14ac:dyDescent="0.25">
      <c r="B1242" s="18"/>
      <c r="C1242" s="18"/>
    </row>
    <row r="1243" spans="2:18" x14ac:dyDescent="0.25">
      <c r="B1243" s="18"/>
      <c r="C1243" s="18"/>
    </row>
    <row r="1244" spans="2:18" x14ac:dyDescent="0.25">
      <c r="B1244" s="114" t="s">
        <v>207</v>
      </c>
      <c r="C1244" s="114"/>
      <c r="D1244" s="114"/>
      <c r="E1244" s="114"/>
      <c r="F1244" s="114"/>
      <c r="G1244" s="114"/>
      <c r="H1244" s="114"/>
      <c r="I1244" s="114"/>
      <c r="J1244" s="114"/>
      <c r="K1244" s="114"/>
      <c r="L1244" s="114"/>
      <c r="M1244" s="114"/>
      <c r="N1244" s="114"/>
      <c r="O1244" s="114"/>
    </row>
    <row r="1245" spans="2:18" x14ac:dyDescent="0.25">
      <c r="B1245" s="2" t="s">
        <v>86</v>
      </c>
      <c r="C1245" s="21" t="s">
        <v>143</v>
      </c>
    </row>
    <row r="1246" spans="2:18" x14ac:dyDescent="0.25">
      <c r="B1246" s="2" t="s">
        <v>58</v>
      </c>
      <c r="C1246" s="21" t="s">
        <v>144</v>
      </c>
      <c r="E1246" s="31" t="s">
        <v>279</v>
      </c>
    </row>
    <row r="1247" spans="2:18" x14ac:dyDescent="0.25">
      <c r="B1247" s="2" t="s">
        <v>60</v>
      </c>
      <c r="C1247" s="21" t="s">
        <v>74</v>
      </c>
    </row>
    <row r="1248" spans="2:18" x14ac:dyDescent="0.25">
      <c r="B1248" s="2" t="s">
        <v>61</v>
      </c>
      <c r="C1248" s="89">
        <f>+E1241</f>
        <v>1026.2008141500141</v>
      </c>
    </row>
    <row r="1251" spans="1:18" ht="26.25" x14ac:dyDescent="0.4">
      <c r="A1251" s="88" t="s">
        <v>311</v>
      </c>
      <c r="B1251" s="34" t="s">
        <v>142</v>
      </c>
      <c r="C1251" s="93" t="s">
        <v>319</v>
      </c>
      <c r="D1251" s="137" t="s">
        <v>323</v>
      </c>
      <c r="E1251" s="137"/>
      <c r="F1251" s="137"/>
    </row>
    <row r="1252" spans="1:18" x14ac:dyDescent="0.25">
      <c r="B1252" s="112" t="s">
        <v>5</v>
      </c>
      <c r="C1252" s="113"/>
      <c r="D1252" s="113"/>
      <c r="E1252" s="113"/>
      <c r="F1252" s="113"/>
      <c r="G1252" s="113"/>
      <c r="H1252" s="113"/>
      <c r="I1252" s="113"/>
      <c r="J1252" s="113"/>
      <c r="K1252" s="113"/>
      <c r="L1252" s="113"/>
      <c r="M1252" s="113"/>
      <c r="N1252" s="113"/>
      <c r="O1252" s="113"/>
      <c r="P1252" s="113"/>
      <c r="Q1252" s="113"/>
      <c r="R1252" s="113"/>
    </row>
    <row r="1253" spans="1:18" x14ac:dyDescent="0.25">
      <c r="B1253" s="2" t="s">
        <v>6</v>
      </c>
      <c r="C1253" s="3" t="s">
        <v>67</v>
      </c>
      <c r="D1253" s="76" t="s">
        <v>8</v>
      </c>
      <c r="E1253" s="5" t="s">
        <v>9</v>
      </c>
      <c r="F1253" s="5" t="s">
        <v>14</v>
      </c>
      <c r="G1253" s="5" t="s">
        <v>10</v>
      </c>
      <c r="H1253" s="5" t="s">
        <v>11</v>
      </c>
      <c r="I1253" s="5" t="s">
        <v>148</v>
      </c>
      <c r="J1253" s="5" t="s">
        <v>149</v>
      </c>
      <c r="K1253" s="5" t="s">
        <v>12</v>
      </c>
      <c r="L1253" s="5" t="s">
        <v>13</v>
      </c>
      <c r="M1253" s="5" t="s">
        <v>40</v>
      </c>
      <c r="N1253" s="5" t="s">
        <v>14</v>
      </c>
      <c r="O1253" s="5" t="s">
        <v>15</v>
      </c>
      <c r="P1253" s="5" t="s">
        <v>16</v>
      </c>
      <c r="Q1253" s="5" t="s">
        <v>17</v>
      </c>
      <c r="R1253" s="5" t="s">
        <v>18</v>
      </c>
    </row>
    <row r="1254" spans="1:18" x14ac:dyDescent="0.25">
      <c r="B1254" s="2" t="s">
        <v>19</v>
      </c>
      <c r="C1254" s="15" t="s">
        <v>68</v>
      </c>
      <c r="D1254" s="73">
        <v>400</v>
      </c>
      <c r="E1254" s="73" t="s">
        <v>118</v>
      </c>
      <c r="F1254" s="43">
        <v>0.12</v>
      </c>
      <c r="G1254" s="7" t="s">
        <v>79</v>
      </c>
      <c r="H1254" s="51">
        <v>0.14000000000000001</v>
      </c>
      <c r="I1254" s="51">
        <f>+IF(F1254=0%,D1254*H1254,0)</f>
        <v>0</v>
      </c>
      <c r="J1254" s="51">
        <f>+IF(F1254=12%,D1254*H1254,0)</f>
        <v>56.000000000000007</v>
      </c>
      <c r="K1254" s="85">
        <f>+L1254*100/J1254</f>
        <v>6.4808423761124816</v>
      </c>
      <c r="L1254" s="86">
        <f>$L$1262/($E$1261+$E$1262)*J1254</f>
        <v>3.6292717306229898</v>
      </c>
      <c r="M1254" s="53">
        <f>+L1254</f>
        <v>3.6292717306229898</v>
      </c>
      <c r="N1254" s="53">
        <f t="shared" ref="N1254:N1260" si="35">+(J1254-M1254)*F1254</f>
        <v>6.284487392325242</v>
      </c>
      <c r="O1254" s="53">
        <f>+J1254-M1254+N1254</f>
        <v>58.655215661702258</v>
      </c>
      <c r="P1254" s="7" t="s">
        <v>301</v>
      </c>
      <c r="Q1254" s="73" t="s">
        <v>81</v>
      </c>
      <c r="R1254" s="7" t="s">
        <v>25</v>
      </c>
    </row>
    <row r="1255" spans="1:18" x14ac:dyDescent="0.25">
      <c r="B1255" s="2" t="s">
        <v>21</v>
      </c>
      <c r="C1255" s="15" t="s">
        <v>22</v>
      </c>
      <c r="D1255" s="73">
        <v>28</v>
      </c>
      <c r="E1255" s="73" t="s">
        <v>119</v>
      </c>
      <c r="F1255" s="43">
        <v>0.12</v>
      </c>
      <c r="G1255" s="7" t="s">
        <v>82</v>
      </c>
      <c r="H1255" s="51">
        <v>4.59</v>
      </c>
      <c r="I1255" s="51">
        <f t="shared" ref="I1255:I1260" si="36">+IF(F1255=0%,D1255*H1255,0)</f>
        <v>0</v>
      </c>
      <c r="J1255" s="51">
        <f t="shared" ref="J1255:J1260" si="37">+IF(F1255=12%,D1255*H1255,0)</f>
        <v>128.51999999999998</v>
      </c>
      <c r="K1255" s="85">
        <f t="shared" ref="K1255:K1260" si="38">+L1255*100/J1255</f>
        <v>6.4808423761124807</v>
      </c>
      <c r="L1255" s="86">
        <f>$L$1262/($E$1261+$E$1262)*J1255</f>
        <v>8.329178621779759</v>
      </c>
      <c r="M1255" s="53">
        <f t="shared" ref="M1255:M1260" si="39">+L1255</f>
        <v>8.329178621779759</v>
      </c>
      <c r="N1255" s="53">
        <f t="shared" si="35"/>
        <v>14.422898565386426</v>
      </c>
      <c r="O1255" s="53">
        <f>+J1255-M1255+N1255</f>
        <v>134.61371994360664</v>
      </c>
      <c r="P1255" s="7" t="s">
        <v>301</v>
      </c>
      <c r="Q1255" s="73" t="s">
        <v>81</v>
      </c>
      <c r="R1255" s="7" t="s">
        <v>25</v>
      </c>
    </row>
    <row r="1256" spans="1:18" ht="30" x14ac:dyDescent="0.25">
      <c r="B1256" s="2" t="s">
        <v>23</v>
      </c>
      <c r="C1256" s="30" t="s">
        <v>70</v>
      </c>
      <c r="D1256" s="73">
        <v>24</v>
      </c>
      <c r="E1256" s="73" t="s">
        <v>120</v>
      </c>
      <c r="F1256" s="43">
        <v>0.12</v>
      </c>
      <c r="G1256" s="7" t="s">
        <v>83</v>
      </c>
      <c r="H1256" s="51">
        <v>2.15</v>
      </c>
      <c r="I1256" s="51">
        <f t="shared" si="36"/>
        <v>0</v>
      </c>
      <c r="J1256" s="51">
        <f t="shared" si="37"/>
        <v>51.599999999999994</v>
      </c>
      <c r="K1256" s="85">
        <f t="shared" si="38"/>
        <v>6.4808423761124807</v>
      </c>
      <c r="L1256" s="86">
        <f>$L$1262/($E$1261+$E$1262)*J1256</f>
        <v>3.3441146660740397</v>
      </c>
      <c r="M1256" s="53">
        <f t="shared" si="39"/>
        <v>3.3441146660740397</v>
      </c>
      <c r="N1256" s="53">
        <f t="shared" si="35"/>
        <v>5.7907062400711142</v>
      </c>
      <c r="O1256" s="53">
        <f>+J1256-M1256+N1256</f>
        <v>54.04659157399707</v>
      </c>
      <c r="P1256" s="7" t="s">
        <v>301</v>
      </c>
      <c r="Q1256" s="73" t="s">
        <v>81</v>
      </c>
      <c r="R1256" s="7" t="s">
        <v>25</v>
      </c>
    </row>
    <row r="1257" spans="1:18" x14ac:dyDescent="0.25">
      <c r="B1257" s="2" t="s">
        <v>26</v>
      </c>
      <c r="C1257" s="12" t="s">
        <v>71</v>
      </c>
      <c r="D1257" s="73">
        <v>125</v>
      </c>
      <c r="E1257" s="73"/>
      <c r="F1257" s="43">
        <v>0</v>
      </c>
      <c r="G1257" s="7" t="s">
        <v>298</v>
      </c>
      <c r="H1257" s="51">
        <v>0.38</v>
      </c>
      <c r="I1257" s="51">
        <f t="shared" si="36"/>
        <v>47.5</v>
      </c>
      <c r="J1257" s="51">
        <f t="shared" si="37"/>
        <v>0</v>
      </c>
      <c r="K1257" s="85">
        <f>+L1257*100/I1257</f>
        <v>6.4808423761124807</v>
      </c>
      <c r="L1257" s="86">
        <f>$L$1262/($E$1261+$E$1262)*I1257</f>
        <v>3.0784001286534282</v>
      </c>
      <c r="M1257" s="53">
        <f t="shared" si="39"/>
        <v>3.0784001286534282</v>
      </c>
      <c r="N1257" s="53">
        <f t="shared" si="35"/>
        <v>0</v>
      </c>
      <c r="O1257" s="53">
        <f>+I1257-M1257+N1257</f>
        <v>44.421599871346572</v>
      </c>
      <c r="P1257" s="7" t="s">
        <v>301</v>
      </c>
      <c r="Q1257" s="73" t="s">
        <v>81</v>
      </c>
      <c r="R1257" s="7" t="s">
        <v>25</v>
      </c>
    </row>
    <row r="1258" spans="1:18" x14ac:dyDescent="0.25">
      <c r="B1258" s="2" t="s">
        <v>27</v>
      </c>
      <c r="C1258" s="3" t="s">
        <v>28</v>
      </c>
      <c r="D1258" s="73">
        <v>750</v>
      </c>
      <c r="E1258" s="73"/>
      <c r="F1258" s="43">
        <v>0</v>
      </c>
      <c r="G1258" s="7" t="s">
        <v>299</v>
      </c>
      <c r="H1258" s="51">
        <v>0.08</v>
      </c>
      <c r="I1258" s="51">
        <f t="shared" si="36"/>
        <v>60</v>
      </c>
      <c r="J1258" s="51">
        <f t="shared" si="37"/>
        <v>0</v>
      </c>
      <c r="K1258" s="85">
        <f>+L1258*100/I1258</f>
        <v>6.4808423761124798</v>
      </c>
      <c r="L1258" s="86">
        <f>$L$1262/($E$1261+$E$1262)*I1258</f>
        <v>3.8885054256674882</v>
      </c>
      <c r="M1258" s="53">
        <f t="shared" si="39"/>
        <v>3.8885054256674882</v>
      </c>
      <c r="N1258" s="53">
        <f t="shared" si="35"/>
        <v>0</v>
      </c>
      <c r="O1258" s="53">
        <f>+I1258-M1258+N1258</f>
        <v>56.111494574332511</v>
      </c>
      <c r="P1258" s="7" t="s">
        <v>301</v>
      </c>
      <c r="Q1258" s="73" t="s">
        <v>81</v>
      </c>
      <c r="R1258" s="7" t="s">
        <v>25</v>
      </c>
    </row>
    <row r="1259" spans="1:18" x14ac:dyDescent="0.25">
      <c r="B1259" s="2" t="s">
        <v>29</v>
      </c>
      <c r="C1259" s="3">
        <v>1</v>
      </c>
      <c r="D1259" s="73">
        <v>1200</v>
      </c>
      <c r="E1259" s="73"/>
      <c r="F1259" s="43">
        <v>0</v>
      </c>
      <c r="G1259" s="7" t="s">
        <v>300</v>
      </c>
      <c r="H1259" s="83">
        <v>0.03</v>
      </c>
      <c r="I1259" s="83">
        <f t="shared" si="36"/>
        <v>36</v>
      </c>
      <c r="J1259" s="83">
        <f t="shared" si="37"/>
        <v>0</v>
      </c>
      <c r="K1259" s="85">
        <f>+L1259*100/I1259</f>
        <v>6.4808423761124807</v>
      </c>
      <c r="L1259" s="86">
        <f>$L$1262/($E$1261+$E$1262)*I1259</f>
        <v>2.3331032554004931</v>
      </c>
      <c r="M1259" s="53">
        <f t="shared" si="39"/>
        <v>2.3331032554004931</v>
      </c>
      <c r="N1259" s="84">
        <f t="shared" si="35"/>
        <v>0</v>
      </c>
      <c r="O1259" s="53">
        <f>+I1259-M1259+N1259</f>
        <v>33.666896744599505</v>
      </c>
      <c r="P1259" s="7" t="s">
        <v>301</v>
      </c>
      <c r="Q1259" s="73" t="s">
        <v>81</v>
      </c>
      <c r="R1259" s="7" t="s">
        <v>25</v>
      </c>
    </row>
    <row r="1260" spans="1:18" ht="15.75" thickBot="1" x14ac:dyDescent="0.3">
      <c r="B1260" s="2" t="s">
        <v>30</v>
      </c>
      <c r="C1260" s="7">
        <v>1122728319</v>
      </c>
      <c r="D1260" s="73">
        <v>786.37</v>
      </c>
      <c r="E1260" s="73" t="s">
        <v>111</v>
      </c>
      <c r="F1260" s="43">
        <v>0.12</v>
      </c>
      <c r="G1260" s="7" t="s">
        <v>112</v>
      </c>
      <c r="H1260" s="84">
        <v>0.89</v>
      </c>
      <c r="I1260" s="84">
        <f t="shared" si="36"/>
        <v>0</v>
      </c>
      <c r="J1260" s="53">
        <f t="shared" si="37"/>
        <v>699.86930000000007</v>
      </c>
      <c r="K1260" s="85">
        <f t="shared" si="38"/>
        <v>6.4808423761124807</v>
      </c>
      <c r="L1260" s="86">
        <f>$L$1262/($E$1261+$E$1262)*J1260</f>
        <v>45.357426171801791</v>
      </c>
      <c r="M1260" s="53">
        <f t="shared" si="39"/>
        <v>45.357426171801791</v>
      </c>
      <c r="N1260" s="53">
        <f t="shared" si="35"/>
        <v>78.541424859383795</v>
      </c>
      <c r="O1260" s="53">
        <f>+J1260-M1260+N1260</f>
        <v>733.05329868758213</v>
      </c>
      <c r="P1260" s="7" t="s">
        <v>45</v>
      </c>
      <c r="Q1260" s="73" t="s">
        <v>46</v>
      </c>
      <c r="R1260" s="7" t="s">
        <v>45</v>
      </c>
    </row>
    <row r="1261" spans="1:18" ht="15.75" thickBot="1" x14ac:dyDescent="0.3">
      <c r="B1261" s="2" t="s">
        <v>31</v>
      </c>
      <c r="C1261" s="14">
        <v>43511</v>
      </c>
      <c r="D1261" s="16" t="s">
        <v>34</v>
      </c>
      <c r="E1261" s="40">
        <f>+SUM(I1254:I1260)</f>
        <v>143.5</v>
      </c>
    </row>
    <row r="1262" spans="1:18" ht="15.75" thickBot="1" x14ac:dyDescent="0.3">
      <c r="B1262" s="2" t="s">
        <v>32</v>
      </c>
      <c r="C1262" s="15" t="s">
        <v>33</v>
      </c>
      <c r="D1262" s="16" t="s">
        <v>36</v>
      </c>
      <c r="E1262" s="17">
        <f>+SUM(J1254:J1260)</f>
        <v>935.98930000000007</v>
      </c>
      <c r="J1262" s="138" t="s">
        <v>324</v>
      </c>
      <c r="K1262" s="138"/>
      <c r="L1262" s="140">
        <v>69.959999999999994</v>
      </c>
    </row>
    <row r="1263" spans="1:18" ht="15.75" thickBot="1" x14ac:dyDescent="0.3">
      <c r="B1263" s="2" t="s">
        <v>35</v>
      </c>
      <c r="C1263" s="15" t="s">
        <v>33</v>
      </c>
      <c r="D1263" s="16" t="s">
        <v>39</v>
      </c>
      <c r="E1263" s="17">
        <f>SUM(M1254:M1260)</f>
        <v>69.959999999999994</v>
      </c>
      <c r="J1263" s="138"/>
      <c r="K1263" s="138"/>
      <c r="L1263" s="140"/>
    </row>
    <row r="1264" spans="1:18" ht="15.75" thickBot="1" x14ac:dyDescent="0.3">
      <c r="B1264" s="2" t="s">
        <v>37</v>
      </c>
      <c r="C1264" s="15" t="s">
        <v>378</v>
      </c>
      <c r="D1264" s="16" t="s">
        <v>14</v>
      </c>
      <c r="E1264" s="17">
        <f>SUM(N1254:N1260)</f>
        <v>105.03951705716658</v>
      </c>
    </row>
    <row r="1265" spans="1:15" ht="15.75" thickBot="1" x14ac:dyDescent="0.3">
      <c r="B1265" s="18"/>
      <c r="C1265" s="18"/>
      <c r="D1265" s="16" t="s">
        <v>15</v>
      </c>
      <c r="E1265" s="17">
        <f>SUM(O1254:O1260)</f>
        <v>1114.5688170571666</v>
      </c>
    </row>
    <row r="1266" spans="1:15" x14ac:dyDescent="0.25">
      <c r="B1266" s="18"/>
      <c r="C1266" s="18"/>
    </row>
    <row r="1268" spans="1:15" x14ac:dyDescent="0.25">
      <c r="B1268" s="114" t="s">
        <v>207</v>
      </c>
      <c r="C1268" s="114"/>
      <c r="D1268" s="114"/>
      <c r="E1268" s="114"/>
      <c r="F1268" s="114"/>
      <c r="G1268" s="114"/>
      <c r="H1268" s="114"/>
      <c r="I1268" s="114"/>
      <c r="J1268" s="114"/>
      <c r="K1268" s="114"/>
      <c r="L1268" s="114"/>
      <c r="M1268" s="114"/>
      <c r="N1268" s="114"/>
      <c r="O1268" s="114"/>
    </row>
    <row r="1269" spans="1:15" x14ac:dyDescent="0.25">
      <c r="B1269" s="2" t="s">
        <v>86</v>
      </c>
      <c r="C1269" s="21" t="s">
        <v>143</v>
      </c>
    </row>
    <row r="1270" spans="1:15" x14ac:dyDescent="0.25">
      <c r="B1270" s="2" t="s">
        <v>58</v>
      </c>
      <c r="C1270" s="21" t="s">
        <v>73</v>
      </c>
    </row>
    <row r="1271" spans="1:15" x14ac:dyDescent="0.25">
      <c r="B1271" s="2" t="s">
        <v>60</v>
      </c>
      <c r="C1271" s="21" t="s">
        <v>74</v>
      </c>
      <c r="D1271" s="73" t="s">
        <v>154</v>
      </c>
      <c r="E1271" s="31" t="s">
        <v>279</v>
      </c>
    </row>
    <row r="1272" spans="1:15" x14ac:dyDescent="0.25">
      <c r="B1272" s="2" t="s">
        <v>61</v>
      </c>
      <c r="C1272" s="27">
        <f>+(E1265)*D1272</f>
        <v>334.37064511714999</v>
      </c>
      <c r="D1272" s="43">
        <v>0.3</v>
      </c>
    </row>
    <row r="1273" spans="1:15" x14ac:dyDescent="0.25">
      <c r="B1273" s="2" t="s">
        <v>60</v>
      </c>
      <c r="C1273" s="21" t="s">
        <v>75</v>
      </c>
      <c r="D1273" s="73" t="s">
        <v>154</v>
      </c>
    </row>
    <row r="1274" spans="1:15" x14ac:dyDescent="0.25">
      <c r="B1274" s="2" t="s">
        <v>61</v>
      </c>
      <c r="C1274" s="27">
        <f>+(E1265)*D1274</f>
        <v>334.37064511714999</v>
      </c>
      <c r="D1274" s="43">
        <v>0.3</v>
      </c>
      <c r="E1274" s="28"/>
      <c r="F1274" s="28"/>
      <c r="H1274" s="23"/>
      <c r="I1274" s="23"/>
      <c r="J1274" s="24"/>
      <c r="K1274" s="24"/>
      <c r="L1274" s="25"/>
      <c r="M1274" s="26"/>
      <c r="N1274" s="22"/>
      <c r="O1274" s="22"/>
    </row>
    <row r="1275" spans="1:15" x14ac:dyDescent="0.25">
      <c r="B1275" s="2" t="s">
        <v>58</v>
      </c>
      <c r="C1275" s="21" t="s">
        <v>76</v>
      </c>
      <c r="D1275" s="73"/>
    </row>
    <row r="1276" spans="1:15" x14ac:dyDescent="0.25">
      <c r="B1276" s="2" t="s">
        <v>60</v>
      </c>
      <c r="C1276" s="21" t="s">
        <v>89</v>
      </c>
      <c r="D1276" s="73" t="s">
        <v>154</v>
      </c>
    </row>
    <row r="1277" spans="1:15" x14ac:dyDescent="0.25">
      <c r="B1277" s="2" t="s">
        <v>61</v>
      </c>
      <c r="C1277" s="27">
        <f>+(E1265)*D1277</f>
        <v>445.82752682286667</v>
      </c>
      <c r="D1277" s="43">
        <v>0.4</v>
      </c>
    </row>
    <row r="1280" spans="1:15" ht="26.25" x14ac:dyDescent="0.4">
      <c r="A1280" s="88" t="s">
        <v>311</v>
      </c>
      <c r="B1280" s="34" t="s">
        <v>145</v>
      </c>
      <c r="C1280" s="93" t="s">
        <v>320</v>
      </c>
      <c r="D1280" s="137" t="s">
        <v>323</v>
      </c>
      <c r="E1280" s="137"/>
      <c r="F1280" s="137"/>
    </row>
    <row r="1281" spans="2:18" x14ac:dyDescent="0.25">
      <c r="B1281" s="112" t="s">
        <v>5</v>
      </c>
      <c r="C1281" s="113"/>
      <c r="D1281" s="113"/>
      <c r="E1281" s="113"/>
      <c r="F1281" s="113"/>
      <c r="G1281" s="113"/>
      <c r="H1281" s="113"/>
      <c r="I1281" s="113"/>
      <c r="J1281" s="113"/>
      <c r="K1281" s="113"/>
      <c r="L1281" s="113"/>
      <c r="M1281" s="113"/>
      <c r="N1281" s="113"/>
      <c r="O1281" s="113"/>
      <c r="P1281" s="113"/>
      <c r="Q1281" s="113"/>
      <c r="R1281" s="113"/>
    </row>
    <row r="1282" spans="2:18" x14ac:dyDescent="0.25">
      <c r="B1282" s="2" t="s">
        <v>6</v>
      </c>
      <c r="C1282" s="3" t="s">
        <v>67</v>
      </c>
      <c r="D1282" s="76" t="s">
        <v>8</v>
      </c>
      <c r="E1282" s="5" t="s">
        <v>9</v>
      </c>
      <c r="F1282" s="5" t="s">
        <v>14</v>
      </c>
      <c r="G1282" s="5" t="s">
        <v>10</v>
      </c>
      <c r="H1282" s="5" t="s">
        <v>11</v>
      </c>
      <c r="I1282" s="5" t="s">
        <v>148</v>
      </c>
      <c r="J1282" s="5" t="s">
        <v>149</v>
      </c>
      <c r="K1282" s="5" t="s">
        <v>12</v>
      </c>
      <c r="L1282" s="5" t="s">
        <v>13</v>
      </c>
      <c r="M1282" s="5" t="s">
        <v>40</v>
      </c>
      <c r="N1282" s="5" t="s">
        <v>14</v>
      </c>
      <c r="O1282" s="5" t="s">
        <v>15</v>
      </c>
      <c r="P1282" s="5" t="s">
        <v>16</v>
      </c>
      <c r="Q1282" s="5" t="s">
        <v>17</v>
      </c>
      <c r="R1282" s="5" t="s">
        <v>18</v>
      </c>
    </row>
    <row r="1283" spans="2:18" x14ac:dyDescent="0.25">
      <c r="B1283" s="2" t="s">
        <v>19</v>
      </c>
      <c r="C1283" s="15" t="s">
        <v>68</v>
      </c>
      <c r="D1283" s="73">
        <v>400</v>
      </c>
      <c r="E1283" s="73" t="s">
        <v>118</v>
      </c>
      <c r="F1283" s="43">
        <v>0.12</v>
      </c>
      <c r="G1283" s="7" t="s">
        <v>79</v>
      </c>
      <c r="H1283" s="51">
        <v>0.14000000000000001</v>
      </c>
      <c r="I1283" s="51">
        <f>+IF(F1283=0%,D1283*H1283,0)</f>
        <v>0</v>
      </c>
      <c r="J1283" s="51">
        <f>+IF(F1283=12%,D1283*H1283,0)</f>
        <v>56.000000000000007</v>
      </c>
      <c r="K1283" s="85">
        <f>+L1283*100/J1283</f>
        <v>44.366349902680824</v>
      </c>
      <c r="L1283" s="86">
        <f>$L$1291/($E$1290+$E$1291)*J1283</f>
        <v>24.845155945501265</v>
      </c>
      <c r="M1283" s="53">
        <f>+L1283</f>
        <v>24.845155945501265</v>
      </c>
      <c r="N1283" s="53">
        <f t="shared" ref="N1283:N1289" si="40">+(J1283-M1283)*F1283</f>
        <v>3.7385812865398491</v>
      </c>
      <c r="O1283" s="53">
        <f>+J1283-M1283+N1283</f>
        <v>34.893425341038594</v>
      </c>
      <c r="P1283" s="7" t="s">
        <v>301</v>
      </c>
      <c r="Q1283" s="73" t="s">
        <v>81</v>
      </c>
      <c r="R1283" s="7" t="s">
        <v>25</v>
      </c>
    </row>
    <row r="1284" spans="2:18" x14ac:dyDescent="0.25">
      <c r="B1284" s="2" t="s">
        <v>21</v>
      </c>
      <c r="C1284" s="15" t="s">
        <v>22</v>
      </c>
      <c r="D1284" s="73">
        <v>28</v>
      </c>
      <c r="E1284" s="73" t="s">
        <v>119</v>
      </c>
      <c r="F1284" s="43">
        <v>0.12</v>
      </c>
      <c r="G1284" s="7" t="s">
        <v>82</v>
      </c>
      <c r="H1284" s="51">
        <v>4.59</v>
      </c>
      <c r="I1284" s="51">
        <f t="shared" ref="I1284:I1289" si="41">+IF(F1284=0%,D1284*H1284,0)</f>
        <v>0</v>
      </c>
      <c r="J1284" s="51">
        <f t="shared" ref="J1284:J1289" si="42">+IF(F1284=12%,D1284*H1284,0)</f>
        <v>128.51999999999998</v>
      </c>
      <c r="K1284" s="85">
        <f t="shared" ref="K1284:K1289" si="43">+L1284*100/J1284</f>
        <v>44.366349902680824</v>
      </c>
      <c r="L1284" s="86">
        <f t="shared" ref="L1284:L1289" si="44">$L$1291/($E$1290+$E$1291)*J1284</f>
        <v>57.019632894925387</v>
      </c>
      <c r="M1284" s="53">
        <f t="shared" ref="M1284:M1289" si="45">+L1284</f>
        <v>57.019632894925387</v>
      </c>
      <c r="N1284" s="53">
        <f t="shared" si="40"/>
        <v>8.580044052608951</v>
      </c>
      <c r="O1284" s="53">
        <f>+J1284-M1284+N1284</f>
        <v>80.080411157683542</v>
      </c>
      <c r="P1284" s="7" t="s">
        <v>301</v>
      </c>
      <c r="Q1284" s="73" t="s">
        <v>81</v>
      </c>
      <c r="R1284" s="7" t="s">
        <v>25</v>
      </c>
    </row>
    <row r="1285" spans="2:18" ht="30" x14ac:dyDescent="0.25">
      <c r="B1285" s="2" t="s">
        <v>23</v>
      </c>
      <c r="C1285" s="30" t="s">
        <v>70</v>
      </c>
      <c r="D1285" s="73">
        <v>24</v>
      </c>
      <c r="E1285" s="73" t="s">
        <v>120</v>
      </c>
      <c r="F1285" s="43">
        <v>0.12</v>
      </c>
      <c r="G1285" s="7" t="s">
        <v>83</v>
      </c>
      <c r="H1285" s="51">
        <v>2.15</v>
      </c>
      <c r="I1285" s="51">
        <f t="shared" si="41"/>
        <v>0</v>
      </c>
      <c r="J1285" s="51">
        <f t="shared" si="42"/>
        <v>51.599999999999994</v>
      </c>
      <c r="K1285" s="85">
        <f t="shared" si="43"/>
        <v>44.366349902680831</v>
      </c>
      <c r="L1285" s="86">
        <f t="shared" si="44"/>
        <v>22.893036549783304</v>
      </c>
      <c r="M1285" s="53">
        <f t="shared" si="45"/>
        <v>22.893036549783304</v>
      </c>
      <c r="N1285" s="53">
        <f t="shared" si="40"/>
        <v>3.4448356140260028</v>
      </c>
      <c r="O1285" s="53">
        <f>+J1285-M1285+N1285</f>
        <v>32.151799064242695</v>
      </c>
      <c r="P1285" s="7" t="s">
        <v>301</v>
      </c>
      <c r="Q1285" s="73" t="s">
        <v>81</v>
      </c>
      <c r="R1285" s="7" t="s">
        <v>25</v>
      </c>
    </row>
    <row r="1286" spans="2:18" x14ac:dyDescent="0.25">
      <c r="B1286" s="2" t="s">
        <v>26</v>
      </c>
      <c r="C1286" s="12" t="s">
        <v>71</v>
      </c>
      <c r="D1286" s="73">
        <v>125</v>
      </c>
      <c r="E1286" s="73"/>
      <c r="F1286" s="43">
        <v>0</v>
      </c>
      <c r="G1286" s="7" t="s">
        <v>298</v>
      </c>
      <c r="H1286" s="51">
        <v>0.38</v>
      </c>
      <c r="I1286" s="51">
        <f t="shared" si="41"/>
        <v>47.5</v>
      </c>
      <c r="J1286" s="51">
        <f t="shared" si="42"/>
        <v>0</v>
      </c>
      <c r="K1286" s="85">
        <f>+L1286*100/I1286</f>
        <v>44.366349902680824</v>
      </c>
      <c r="L1286" s="86">
        <f>$L$1291/($E$1290+$E$1291)*I1286</f>
        <v>21.07401620377339</v>
      </c>
      <c r="M1286" s="53">
        <f t="shared" si="45"/>
        <v>21.07401620377339</v>
      </c>
      <c r="N1286" s="53">
        <f t="shared" si="40"/>
        <v>0</v>
      </c>
      <c r="O1286" s="53">
        <f>+I1286-M1286+N1286</f>
        <v>26.42598379622661</v>
      </c>
      <c r="P1286" s="7" t="s">
        <v>301</v>
      </c>
      <c r="Q1286" s="73" t="s">
        <v>81</v>
      </c>
      <c r="R1286" s="7" t="s">
        <v>25</v>
      </c>
    </row>
    <row r="1287" spans="2:18" x14ac:dyDescent="0.25">
      <c r="B1287" s="2" t="s">
        <v>27</v>
      </c>
      <c r="C1287" s="3" t="s">
        <v>28</v>
      </c>
      <c r="D1287" s="73">
        <v>750</v>
      </c>
      <c r="E1287" s="73"/>
      <c r="F1287" s="43">
        <v>0</v>
      </c>
      <c r="G1287" s="7" t="s">
        <v>299</v>
      </c>
      <c r="H1287" s="51">
        <v>0.08</v>
      </c>
      <c r="I1287" s="51">
        <f t="shared" si="41"/>
        <v>60</v>
      </c>
      <c r="J1287" s="51">
        <f t="shared" si="42"/>
        <v>0</v>
      </c>
      <c r="K1287" s="85">
        <f>+L1287*100/I1287</f>
        <v>44.366349902680824</v>
      </c>
      <c r="L1287" s="86">
        <f>$L$1291/($E$1290+$E$1291)*I1287</f>
        <v>26.619809941608494</v>
      </c>
      <c r="M1287" s="53">
        <f t="shared" si="45"/>
        <v>26.619809941608494</v>
      </c>
      <c r="N1287" s="53">
        <f t="shared" si="40"/>
        <v>0</v>
      </c>
      <c r="O1287" s="53">
        <f>+I1287-M1287+N1287</f>
        <v>33.380190058391506</v>
      </c>
      <c r="P1287" s="7" t="s">
        <v>301</v>
      </c>
      <c r="Q1287" s="73" t="s">
        <v>81</v>
      </c>
      <c r="R1287" s="7" t="s">
        <v>25</v>
      </c>
    </row>
    <row r="1288" spans="2:18" x14ac:dyDescent="0.25">
      <c r="B1288" s="2" t="s">
        <v>29</v>
      </c>
      <c r="C1288" s="3">
        <v>1</v>
      </c>
      <c r="D1288" s="73">
        <v>1200</v>
      </c>
      <c r="E1288" s="73"/>
      <c r="F1288" s="43">
        <v>0</v>
      </c>
      <c r="G1288" s="7" t="s">
        <v>300</v>
      </c>
      <c r="H1288" s="83">
        <v>0.03</v>
      </c>
      <c r="I1288" s="83">
        <f t="shared" si="41"/>
        <v>36</v>
      </c>
      <c r="J1288" s="83">
        <f t="shared" si="42"/>
        <v>0</v>
      </c>
      <c r="K1288" s="85">
        <f>+L1288*100/I1288</f>
        <v>44.366349902680824</v>
      </c>
      <c r="L1288" s="86">
        <f>$L$1291/($E$1290+$E$1291)*I1288</f>
        <v>15.971885964965097</v>
      </c>
      <c r="M1288" s="53">
        <f t="shared" si="45"/>
        <v>15.971885964965097</v>
      </c>
      <c r="N1288" s="84">
        <f t="shared" si="40"/>
        <v>0</v>
      </c>
      <c r="O1288" s="53">
        <f>+I1288-M1288+N1288</f>
        <v>20.028114035034903</v>
      </c>
      <c r="P1288" s="7" t="s">
        <v>301</v>
      </c>
      <c r="Q1288" s="73" t="s">
        <v>81</v>
      </c>
      <c r="R1288" s="7" t="s">
        <v>25</v>
      </c>
    </row>
    <row r="1289" spans="2:18" ht="15.75" thickBot="1" x14ac:dyDescent="0.3">
      <c r="B1289" s="2" t="s">
        <v>30</v>
      </c>
      <c r="C1289" s="7">
        <v>1122728319</v>
      </c>
      <c r="D1289" s="73">
        <v>786.37</v>
      </c>
      <c r="E1289" s="73" t="s">
        <v>111</v>
      </c>
      <c r="F1289" s="43">
        <v>0.12</v>
      </c>
      <c r="G1289" s="7" t="s">
        <v>112</v>
      </c>
      <c r="H1289" s="84">
        <v>0.89</v>
      </c>
      <c r="I1289" s="84">
        <f t="shared" si="41"/>
        <v>0</v>
      </c>
      <c r="J1289" s="53">
        <f t="shared" si="42"/>
        <v>699.86930000000007</v>
      </c>
      <c r="K1289" s="85">
        <f t="shared" si="43"/>
        <v>44.366349902680824</v>
      </c>
      <c r="L1289" s="86">
        <f t="shared" si="44"/>
        <v>310.50646249944299</v>
      </c>
      <c r="M1289" s="53">
        <f t="shared" si="45"/>
        <v>310.50646249944299</v>
      </c>
      <c r="N1289" s="53">
        <f t="shared" si="40"/>
        <v>46.723540500066846</v>
      </c>
      <c r="O1289" s="53">
        <f>+J1289-M1289+N1289</f>
        <v>436.08637800062394</v>
      </c>
      <c r="P1289" s="7" t="s">
        <v>45</v>
      </c>
      <c r="Q1289" s="73" t="s">
        <v>46</v>
      </c>
      <c r="R1289" s="7" t="s">
        <v>45</v>
      </c>
    </row>
    <row r="1290" spans="2:18" ht="15.75" thickBot="1" x14ac:dyDescent="0.3">
      <c r="B1290" s="2" t="s">
        <v>31</v>
      </c>
      <c r="C1290" s="14">
        <v>43511</v>
      </c>
      <c r="D1290" s="16" t="s">
        <v>34</v>
      </c>
      <c r="E1290" s="40">
        <f>+SUM(I1283:I1289)</f>
        <v>143.5</v>
      </c>
      <c r="L1290" s="92"/>
    </row>
    <row r="1291" spans="2:18" ht="15.75" thickBot="1" x14ac:dyDescent="0.3">
      <c r="B1291" s="2" t="s">
        <v>32</v>
      </c>
      <c r="C1291" s="15" t="s">
        <v>33</v>
      </c>
      <c r="D1291" s="16" t="s">
        <v>36</v>
      </c>
      <c r="E1291" s="17">
        <f>+SUM(J1283:J1289)</f>
        <v>935.98930000000007</v>
      </c>
      <c r="J1291" s="138" t="s">
        <v>324</v>
      </c>
      <c r="K1291" s="138"/>
      <c r="L1291" s="140">
        <v>478.93</v>
      </c>
    </row>
    <row r="1292" spans="2:18" ht="15.75" thickBot="1" x14ac:dyDescent="0.3">
      <c r="B1292" s="2" t="s">
        <v>35</v>
      </c>
      <c r="C1292" s="15" t="s">
        <v>33</v>
      </c>
      <c r="D1292" s="16" t="s">
        <v>39</v>
      </c>
      <c r="E1292" s="17">
        <f>SUM(M1283:M1289)</f>
        <v>478.92999999999995</v>
      </c>
      <c r="J1292" s="138"/>
      <c r="K1292" s="138"/>
      <c r="L1292" s="140"/>
    </row>
    <row r="1293" spans="2:18" ht="15.75" thickBot="1" x14ac:dyDescent="0.3">
      <c r="B1293" s="2" t="s">
        <v>37</v>
      </c>
      <c r="C1293" s="15" t="s">
        <v>379</v>
      </c>
      <c r="D1293" s="16" t="s">
        <v>14</v>
      </c>
      <c r="E1293" s="17">
        <f>SUM(N1283:N1289)</f>
        <v>62.487001453241646</v>
      </c>
    </row>
    <row r="1294" spans="2:18" ht="15.75" thickBot="1" x14ac:dyDescent="0.3">
      <c r="B1294" s="18"/>
      <c r="C1294" s="18"/>
      <c r="D1294" s="16" t="s">
        <v>15</v>
      </c>
      <c r="E1294" s="17">
        <f>SUM(O1283:O1289)</f>
        <v>663.04630145324177</v>
      </c>
    </row>
    <row r="1295" spans="2:18" x14ac:dyDescent="0.25">
      <c r="B1295" s="18"/>
      <c r="C1295" s="18"/>
    </row>
    <row r="1297" spans="2:15" x14ac:dyDescent="0.25">
      <c r="B1297" s="114" t="s">
        <v>47</v>
      </c>
      <c r="C1297" s="114"/>
      <c r="D1297" s="114"/>
      <c r="E1297" s="114"/>
      <c r="F1297" s="114"/>
      <c r="G1297" s="114"/>
      <c r="H1297" s="114"/>
      <c r="I1297" s="114"/>
      <c r="J1297" s="114"/>
      <c r="K1297" s="114"/>
      <c r="L1297" s="114"/>
      <c r="M1297" s="114"/>
      <c r="N1297" s="114"/>
      <c r="O1297" s="114"/>
    </row>
    <row r="1298" spans="2:15" x14ac:dyDescent="0.25">
      <c r="B1298" s="2" t="s">
        <v>48</v>
      </c>
      <c r="C1298" s="15" t="s">
        <v>33</v>
      </c>
      <c r="D1298" s="19" t="s">
        <v>16</v>
      </c>
      <c r="E1298" s="115" t="s">
        <v>152</v>
      </c>
      <c r="F1298" s="116"/>
      <c r="G1298" s="75" t="s">
        <v>150</v>
      </c>
      <c r="H1298" s="117" t="s">
        <v>49</v>
      </c>
      <c r="I1298" s="118"/>
      <c r="J1298" s="117" t="s">
        <v>151</v>
      </c>
      <c r="K1298" s="118"/>
      <c r="L1298" s="5" t="s">
        <v>50</v>
      </c>
      <c r="M1298" s="5" t="s">
        <v>51</v>
      </c>
      <c r="N1298" s="117" t="s">
        <v>155</v>
      </c>
      <c r="O1298" s="118"/>
    </row>
    <row r="1299" spans="2:15" x14ac:dyDescent="0.25">
      <c r="B1299" s="2" t="s">
        <v>52</v>
      </c>
      <c r="C1299" s="15" t="s">
        <v>33</v>
      </c>
      <c r="D1299" s="73" t="s">
        <v>181</v>
      </c>
      <c r="E1299" s="119" t="s">
        <v>182</v>
      </c>
      <c r="F1299" s="119"/>
      <c r="G1299" s="74">
        <v>731</v>
      </c>
      <c r="H1299" s="120" t="s">
        <v>14</v>
      </c>
      <c r="I1299" s="121"/>
      <c r="J1299" s="122">
        <v>0.2</v>
      </c>
      <c r="K1299" s="123"/>
      <c r="L1299" s="20">
        <f>+E1293*J1299</f>
        <v>12.497400290648329</v>
      </c>
      <c r="M1299" s="124">
        <f>+L1299+L1300</f>
        <v>24.508586290648335</v>
      </c>
      <c r="N1299" s="126">
        <f>+E1294-M1299</f>
        <v>638.53771516259349</v>
      </c>
      <c r="O1299" s="127"/>
    </row>
    <row r="1300" spans="2:15" x14ac:dyDescent="0.25">
      <c r="B1300" s="2" t="s">
        <v>53</v>
      </c>
      <c r="C1300" s="15" t="s">
        <v>164</v>
      </c>
      <c r="D1300" s="73" t="s">
        <v>175</v>
      </c>
      <c r="E1300" s="119" t="s">
        <v>176</v>
      </c>
      <c r="F1300" s="119"/>
      <c r="G1300" s="74">
        <v>311</v>
      </c>
      <c r="H1300" s="120" t="s">
        <v>153</v>
      </c>
      <c r="I1300" s="121"/>
      <c r="J1300" s="122">
        <v>0.02</v>
      </c>
      <c r="K1300" s="123"/>
      <c r="L1300" s="20">
        <f>(E1291+E1290-E1292)*J1300</f>
        <v>12.011186000000006</v>
      </c>
      <c r="M1300" s="125"/>
      <c r="N1300" s="128"/>
      <c r="O1300" s="129"/>
    </row>
    <row r="1301" spans="2:15" x14ac:dyDescent="0.25">
      <c r="B1301" s="2" t="s">
        <v>55</v>
      </c>
      <c r="C1301" s="3" t="str">
        <f>+CONCATENATE(C1291,"-",C1292,"-",C1293)</f>
        <v>001-001-142</v>
      </c>
    </row>
    <row r="1302" spans="2:15" x14ac:dyDescent="0.25">
      <c r="B1302" s="2" t="s">
        <v>57</v>
      </c>
      <c r="C1302" s="21">
        <f>+C1290</f>
        <v>43511</v>
      </c>
    </row>
    <row r="1303" spans="2:15" x14ac:dyDescent="0.25">
      <c r="B1303" s="2" t="s">
        <v>86</v>
      </c>
      <c r="C1303" s="21" t="s">
        <v>143</v>
      </c>
    </row>
    <row r="1304" spans="2:15" x14ac:dyDescent="0.25">
      <c r="B1304" s="2" t="s">
        <v>58</v>
      </c>
      <c r="C1304" s="21" t="s">
        <v>73</v>
      </c>
      <c r="E1304" s="31" t="s">
        <v>279</v>
      </c>
    </row>
    <row r="1305" spans="2:15" x14ac:dyDescent="0.25">
      <c r="B1305" s="2" t="s">
        <v>60</v>
      </c>
      <c r="C1305" s="21" t="s">
        <v>74</v>
      </c>
      <c r="D1305" s="73" t="s">
        <v>154</v>
      </c>
    </row>
    <row r="1306" spans="2:15" x14ac:dyDescent="0.25">
      <c r="B1306" s="2" t="s">
        <v>61</v>
      </c>
      <c r="C1306" s="27">
        <f>+(E1294-M1299)*D1306</f>
        <v>383.12262909755606</v>
      </c>
      <c r="D1306" s="43">
        <v>0.6</v>
      </c>
    </row>
    <row r="1307" spans="2:15" x14ac:dyDescent="0.25">
      <c r="B1307" s="2" t="s">
        <v>147</v>
      </c>
      <c r="C1307" s="21" t="s">
        <v>84</v>
      </c>
    </row>
    <row r="1308" spans="2:15" x14ac:dyDescent="0.25">
      <c r="B1308" s="2" t="s">
        <v>60</v>
      </c>
      <c r="C1308" s="21" t="s">
        <v>85</v>
      </c>
      <c r="D1308" s="73" t="s">
        <v>154</v>
      </c>
    </row>
    <row r="1309" spans="2:15" x14ac:dyDescent="0.25">
      <c r="B1309" s="2" t="s">
        <v>61</v>
      </c>
      <c r="C1309" s="27">
        <f>+(E1294-M1299)*D1309</f>
        <v>255.4150860650374</v>
      </c>
      <c r="D1309" s="43">
        <v>0.4</v>
      </c>
    </row>
  </sheetData>
  <mergeCells count="429">
    <mergeCell ref="E1299:F1299"/>
    <mergeCell ref="H1299:I1299"/>
    <mergeCell ref="J1299:K1299"/>
    <mergeCell ref="M1299:M1300"/>
    <mergeCell ref="N1299:O1300"/>
    <mergeCell ref="E1300:F1300"/>
    <mergeCell ref="H1300:I1300"/>
    <mergeCell ref="J1300:K1300"/>
    <mergeCell ref="D1251:F1251"/>
    <mergeCell ref="B1252:R1252"/>
    <mergeCell ref="B1268:O1268"/>
    <mergeCell ref="J1262:K1263"/>
    <mergeCell ref="L1262:L1263"/>
    <mergeCell ref="J1291:K1292"/>
    <mergeCell ref="L1291:L1292"/>
    <mergeCell ref="D1280:F1280"/>
    <mergeCell ref="B1281:R1281"/>
    <mergeCell ref="B1297:O1297"/>
    <mergeCell ref="E1298:F1298"/>
    <mergeCell ref="H1298:I1298"/>
    <mergeCell ref="J1298:K1298"/>
    <mergeCell ref="N1298:O1298"/>
    <mergeCell ref="D1227:F1227"/>
    <mergeCell ref="B1228:R1228"/>
    <mergeCell ref="B1244:O1244"/>
    <mergeCell ref="J1238:K1239"/>
    <mergeCell ref="L1238:L1239"/>
    <mergeCell ref="D1204:F1204"/>
    <mergeCell ref="B1205:R1205"/>
    <mergeCell ref="B1220:O1220"/>
    <mergeCell ref="I1215:J1216"/>
    <mergeCell ref="K1215:K1216"/>
    <mergeCell ref="D1180:F1180"/>
    <mergeCell ref="B1181:R1181"/>
    <mergeCell ref="B1197:O1197"/>
    <mergeCell ref="I1191:J1192"/>
    <mergeCell ref="K1191:K1192"/>
    <mergeCell ref="D1156:F1156"/>
    <mergeCell ref="B1157:R1157"/>
    <mergeCell ref="B1173:O1173"/>
    <mergeCell ref="K1167:K1168"/>
    <mergeCell ref="I1167:J1168"/>
    <mergeCell ref="E1142:F1142"/>
    <mergeCell ref="H1142:I1142"/>
    <mergeCell ref="J1142:K1142"/>
    <mergeCell ref="M1142:M1143"/>
    <mergeCell ref="N1142:O1143"/>
    <mergeCell ref="E1143:F1143"/>
    <mergeCell ref="H1143:I1143"/>
    <mergeCell ref="J1143:K1143"/>
    <mergeCell ref="D1123:F1123"/>
    <mergeCell ref="L1133:L1137"/>
    <mergeCell ref="D1032:F1032"/>
    <mergeCell ref="D1060:F1060"/>
    <mergeCell ref="D1089:F1089"/>
    <mergeCell ref="B1124:R1124"/>
    <mergeCell ref="B1140:O1140"/>
    <mergeCell ref="E1141:F1141"/>
    <mergeCell ref="H1141:I1141"/>
    <mergeCell ref="J1141:K1141"/>
    <mergeCell ref="N1141:O1141"/>
    <mergeCell ref="L1099:L1103"/>
    <mergeCell ref="B1090:R1090"/>
    <mergeCell ref="B1106:O1106"/>
    <mergeCell ref="E1107:F1107"/>
    <mergeCell ref="H1107:I1107"/>
    <mergeCell ref="J1107:K1107"/>
    <mergeCell ref="N1107:O1107"/>
    <mergeCell ref="E1108:F1108"/>
    <mergeCell ref="H1108:I1108"/>
    <mergeCell ref="J1108:K1108"/>
    <mergeCell ref="M1108:M1109"/>
    <mergeCell ref="N1108:O1109"/>
    <mergeCell ref="E1109:F1109"/>
    <mergeCell ref="H1109:I1109"/>
    <mergeCell ref="J1109:K1109"/>
    <mergeCell ref="B1061:R1061"/>
    <mergeCell ref="B1077:O1077"/>
    <mergeCell ref="E1078:F1078"/>
    <mergeCell ref="H1078:I1078"/>
    <mergeCell ref="J1078:K1078"/>
    <mergeCell ref="N1078:O1078"/>
    <mergeCell ref="E1079:F1079"/>
    <mergeCell ref="H1079:I1079"/>
    <mergeCell ref="J1079:K1079"/>
    <mergeCell ref="M1079:M1080"/>
    <mergeCell ref="N1079:O1080"/>
    <mergeCell ref="E1080:F1080"/>
    <mergeCell ref="H1080:I1080"/>
    <mergeCell ref="J1080:K1080"/>
    <mergeCell ref="L1070:L1074"/>
    <mergeCell ref="E815:F815"/>
    <mergeCell ref="H815:I815"/>
    <mergeCell ref="J815:K815"/>
    <mergeCell ref="M815:M816"/>
    <mergeCell ref="N815:O816"/>
    <mergeCell ref="E816:F816"/>
    <mergeCell ref="H816:I816"/>
    <mergeCell ref="J816:K816"/>
    <mergeCell ref="B798:R798"/>
    <mergeCell ref="B813:O813"/>
    <mergeCell ref="E814:F814"/>
    <mergeCell ref="H814:I814"/>
    <mergeCell ref="J814:K814"/>
    <mergeCell ref="N814:O814"/>
    <mergeCell ref="E782:F782"/>
    <mergeCell ref="H782:I782"/>
    <mergeCell ref="J782:K782"/>
    <mergeCell ref="M782:M783"/>
    <mergeCell ref="N782:O783"/>
    <mergeCell ref="E783:F783"/>
    <mergeCell ref="H783:I783"/>
    <mergeCell ref="J783:K783"/>
    <mergeCell ref="B765:R765"/>
    <mergeCell ref="B780:O780"/>
    <mergeCell ref="E781:F781"/>
    <mergeCell ref="H781:I781"/>
    <mergeCell ref="J781:K781"/>
    <mergeCell ref="N781:O781"/>
    <mergeCell ref="E754:F754"/>
    <mergeCell ref="H754:I754"/>
    <mergeCell ref="J754:K754"/>
    <mergeCell ref="M754:M755"/>
    <mergeCell ref="N754:O755"/>
    <mergeCell ref="E755:F755"/>
    <mergeCell ref="H755:I755"/>
    <mergeCell ref="J755:K755"/>
    <mergeCell ref="B737:R737"/>
    <mergeCell ref="B752:O752"/>
    <mergeCell ref="E753:F753"/>
    <mergeCell ref="H753:I753"/>
    <mergeCell ref="J753:K753"/>
    <mergeCell ref="N753:O753"/>
    <mergeCell ref="E726:F726"/>
    <mergeCell ref="H726:I726"/>
    <mergeCell ref="J726:K726"/>
    <mergeCell ref="M726:M727"/>
    <mergeCell ref="N726:O727"/>
    <mergeCell ref="E727:F727"/>
    <mergeCell ref="H727:I727"/>
    <mergeCell ref="J727:K727"/>
    <mergeCell ref="B709:R709"/>
    <mergeCell ref="B724:O724"/>
    <mergeCell ref="E725:F725"/>
    <mergeCell ref="H725:I725"/>
    <mergeCell ref="J725:K725"/>
    <mergeCell ref="N725:O725"/>
    <mergeCell ref="E698:F698"/>
    <mergeCell ref="H698:I698"/>
    <mergeCell ref="J698:K698"/>
    <mergeCell ref="M698:M699"/>
    <mergeCell ref="N698:O699"/>
    <mergeCell ref="E699:F699"/>
    <mergeCell ref="H699:I699"/>
    <mergeCell ref="J699:K699"/>
    <mergeCell ref="B681:R681"/>
    <mergeCell ref="B696:O696"/>
    <mergeCell ref="E697:F697"/>
    <mergeCell ref="H697:I697"/>
    <mergeCell ref="J697:K697"/>
    <mergeCell ref="N697:O697"/>
    <mergeCell ref="E670:F670"/>
    <mergeCell ref="H670:I670"/>
    <mergeCell ref="J670:K670"/>
    <mergeCell ref="M670:M671"/>
    <mergeCell ref="N670:O671"/>
    <mergeCell ref="E671:F671"/>
    <mergeCell ref="H671:I671"/>
    <mergeCell ref="J671:K671"/>
    <mergeCell ref="B627:R627"/>
    <mergeCell ref="B642:O642"/>
    <mergeCell ref="B653:R653"/>
    <mergeCell ref="B668:O668"/>
    <mergeCell ref="E669:F669"/>
    <mergeCell ref="H669:I669"/>
    <mergeCell ref="J669:K669"/>
    <mergeCell ref="N669:O669"/>
    <mergeCell ref="B567:O567"/>
    <mergeCell ref="B575:R575"/>
    <mergeCell ref="B590:O590"/>
    <mergeCell ref="B598:R598"/>
    <mergeCell ref="B613:O613"/>
    <mergeCell ref="B506:R506"/>
    <mergeCell ref="B521:O521"/>
    <mergeCell ref="B529:R529"/>
    <mergeCell ref="B544:O544"/>
    <mergeCell ref="B552:R552"/>
    <mergeCell ref="E492:F492"/>
    <mergeCell ref="H492:I492"/>
    <mergeCell ref="J492:K492"/>
    <mergeCell ref="M492:M493"/>
    <mergeCell ref="N492:O493"/>
    <mergeCell ref="E493:F493"/>
    <mergeCell ref="H493:I493"/>
    <mergeCell ref="J493:K493"/>
    <mergeCell ref="B475:R475"/>
    <mergeCell ref="B490:O490"/>
    <mergeCell ref="E491:F491"/>
    <mergeCell ref="H491:I491"/>
    <mergeCell ref="J491:K491"/>
    <mergeCell ref="N491:O491"/>
    <mergeCell ref="E459:F459"/>
    <mergeCell ref="H459:I459"/>
    <mergeCell ref="J459:K459"/>
    <mergeCell ref="M459:M460"/>
    <mergeCell ref="N459:O460"/>
    <mergeCell ref="E460:F460"/>
    <mergeCell ref="H460:I460"/>
    <mergeCell ref="J460:K460"/>
    <mergeCell ref="B442:R442"/>
    <mergeCell ref="B457:O457"/>
    <mergeCell ref="E458:F458"/>
    <mergeCell ref="H458:I458"/>
    <mergeCell ref="J458:K458"/>
    <mergeCell ref="N458:O458"/>
    <mergeCell ref="E431:F431"/>
    <mergeCell ref="H431:I431"/>
    <mergeCell ref="J431:K431"/>
    <mergeCell ref="M431:M432"/>
    <mergeCell ref="N431:O432"/>
    <mergeCell ref="E432:F432"/>
    <mergeCell ref="H432:I432"/>
    <mergeCell ref="J432:K432"/>
    <mergeCell ref="B414:R414"/>
    <mergeCell ref="B429:O429"/>
    <mergeCell ref="E430:F430"/>
    <mergeCell ref="H430:I430"/>
    <mergeCell ref="J430:K430"/>
    <mergeCell ref="N430:O430"/>
    <mergeCell ref="E403:F403"/>
    <mergeCell ref="H403:I403"/>
    <mergeCell ref="J403:K403"/>
    <mergeCell ref="M403:M404"/>
    <mergeCell ref="N403:O404"/>
    <mergeCell ref="E404:F404"/>
    <mergeCell ref="H404:I404"/>
    <mergeCell ref="J404:K404"/>
    <mergeCell ref="B386:R386"/>
    <mergeCell ref="B401:O401"/>
    <mergeCell ref="E402:F402"/>
    <mergeCell ref="H402:I402"/>
    <mergeCell ref="J402:K402"/>
    <mergeCell ref="N402:O402"/>
    <mergeCell ref="E375:F375"/>
    <mergeCell ref="H375:I375"/>
    <mergeCell ref="J375:K375"/>
    <mergeCell ref="M375:M376"/>
    <mergeCell ref="N375:O376"/>
    <mergeCell ref="E376:F376"/>
    <mergeCell ref="H376:I376"/>
    <mergeCell ref="J376:K376"/>
    <mergeCell ref="B358:R358"/>
    <mergeCell ref="B373:O373"/>
    <mergeCell ref="E374:F374"/>
    <mergeCell ref="H374:I374"/>
    <mergeCell ref="J374:K374"/>
    <mergeCell ref="N374:O374"/>
    <mergeCell ref="E347:F347"/>
    <mergeCell ref="H347:I347"/>
    <mergeCell ref="J347:K347"/>
    <mergeCell ref="M347:M348"/>
    <mergeCell ref="N347:O348"/>
    <mergeCell ref="E348:F348"/>
    <mergeCell ref="H348:I348"/>
    <mergeCell ref="J348:K348"/>
    <mergeCell ref="B330:R330"/>
    <mergeCell ref="B345:O345"/>
    <mergeCell ref="E346:F346"/>
    <mergeCell ref="H346:I346"/>
    <mergeCell ref="J346:K346"/>
    <mergeCell ref="N346:O346"/>
    <mergeCell ref="B304:R304"/>
    <mergeCell ref="B319:O319"/>
    <mergeCell ref="B275:R275"/>
    <mergeCell ref="B290:O290"/>
    <mergeCell ref="B252:R252"/>
    <mergeCell ref="B267:O267"/>
    <mergeCell ref="B206:R206"/>
    <mergeCell ref="B221:O221"/>
    <mergeCell ref="B183:R183"/>
    <mergeCell ref="B198:O198"/>
    <mergeCell ref="N169:O170"/>
    <mergeCell ref="E168:F168"/>
    <mergeCell ref="H168:I168"/>
    <mergeCell ref="J168:K168"/>
    <mergeCell ref="E169:F169"/>
    <mergeCell ref="H169:I169"/>
    <mergeCell ref="J169:K169"/>
    <mergeCell ref="E136:F136"/>
    <mergeCell ref="H136:I136"/>
    <mergeCell ref="N51:O51"/>
    <mergeCell ref="N52:O53"/>
    <mergeCell ref="N79:O79"/>
    <mergeCell ref="N80:O81"/>
    <mergeCell ref="N107:O107"/>
    <mergeCell ref="N108:O109"/>
    <mergeCell ref="N135:O135"/>
    <mergeCell ref="N136:O137"/>
    <mergeCell ref="N168:O168"/>
    <mergeCell ref="M108:M109"/>
    <mergeCell ref="B119:R119"/>
    <mergeCell ref="B134:O134"/>
    <mergeCell ref="M136:M137"/>
    <mergeCell ref="E108:F108"/>
    <mergeCell ref="H108:I108"/>
    <mergeCell ref="J108:K108"/>
    <mergeCell ref="E109:F109"/>
    <mergeCell ref="H109:I109"/>
    <mergeCell ref="J109:K109"/>
    <mergeCell ref="E135:F135"/>
    <mergeCell ref="M80:M81"/>
    <mergeCell ref="E81:F81"/>
    <mergeCell ref="H81:I81"/>
    <mergeCell ref="J81:K81"/>
    <mergeCell ref="E107:F107"/>
    <mergeCell ref="H107:I107"/>
    <mergeCell ref="J107:K107"/>
    <mergeCell ref="B91:R91"/>
    <mergeCell ref="B106:O106"/>
    <mergeCell ref="E79:F79"/>
    <mergeCell ref="H79:I79"/>
    <mergeCell ref="J79:K79"/>
    <mergeCell ref="E80:F80"/>
    <mergeCell ref="H80:I80"/>
    <mergeCell ref="J80:K80"/>
    <mergeCell ref="J25:K25"/>
    <mergeCell ref="E23:F23"/>
    <mergeCell ref="E24:F24"/>
    <mergeCell ref="E25:F25"/>
    <mergeCell ref="E51:F51"/>
    <mergeCell ref="H51:I51"/>
    <mergeCell ref="J51:K51"/>
    <mergeCell ref="B35:R35"/>
    <mergeCell ref="B50:O50"/>
    <mergeCell ref="B63:R63"/>
    <mergeCell ref="B78:O78"/>
    <mergeCell ref="E52:F52"/>
    <mergeCell ref="H52:I52"/>
    <mergeCell ref="J52:K52"/>
    <mergeCell ref="M52:M53"/>
    <mergeCell ref="E53:F53"/>
    <mergeCell ref="H53:I53"/>
    <mergeCell ref="J53:K53"/>
    <mergeCell ref="A1:D1"/>
    <mergeCell ref="A2:D2"/>
    <mergeCell ref="A3:C3"/>
    <mergeCell ref="B7:R7"/>
    <mergeCell ref="B22:O22"/>
    <mergeCell ref="M24:M25"/>
    <mergeCell ref="H23:I23"/>
    <mergeCell ref="H24:I24"/>
    <mergeCell ref="H25:I25"/>
    <mergeCell ref="J23:K23"/>
    <mergeCell ref="J24:K24"/>
    <mergeCell ref="N23:O23"/>
    <mergeCell ref="N24:O25"/>
    <mergeCell ref="B921:R921"/>
    <mergeCell ref="B936:O936"/>
    <mergeCell ref="B898:R898"/>
    <mergeCell ref="B913:O913"/>
    <mergeCell ref="B875:R875"/>
    <mergeCell ref="B890:O890"/>
    <mergeCell ref="B867:O867"/>
    <mergeCell ref="B852:R852"/>
    <mergeCell ref="H135:I135"/>
    <mergeCell ref="J135:K135"/>
    <mergeCell ref="B152:R152"/>
    <mergeCell ref="B167:O167"/>
    <mergeCell ref="B229:R229"/>
    <mergeCell ref="B244:O244"/>
    <mergeCell ref="B829:R829"/>
    <mergeCell ref="B844:O844"/>
    <mergeCell ref="J136:K136"/>
    <mergeCell ref="E137:F137"/>
    <mergeCell ref="H137:I137"/>
    <mergeCell ref="J137:K137"/>
    <mergeCell ref="M169:M170"/>
    <mergeCell ref="E170:F170"/>
    <mergeCell ref="H170:I170"/>
    <mergeCell ref="J170:K170"/>
    <mergeCell ref="E993:F993"/>
    <mergeCell ref="H993:I993"/>
    <mergeCell ref="J993:K993"/>
    <mergeCell ref="M993:M994"/>
    <mergeCell ref="N993:O994"/>
    <mergeCell ref="E994:F994"/>
    <mergeCell ref="H994:I994"/>
    <mergeCell ref="J994:K994"/>
    <mergeCell ref="B949:R949"/>
    <mergeCell ref="B964:O964"/>
    <mergeCell ref="E1022:F1022"/>
    <mergeCell ref="H1022:I1022"/>
    <mergeCell ref="J1022:K1022"/>
    <mergeCell ref="M1022:M1023"/>
    <mergeCell ref="N1022:O1023"/>
    <mergeCell ref="E1023:F1023"/>
    <mergeCell ref="H1023:I1023"/>
    <mergeCell ref="J1023:K1023"/>
    <mergeCell ref="D974:F974"/>
    <mergeCell ref="K984:K988"/>
    <mergeCell ref="D1003:F1003"/>
    <mergeCell ref="B1004:R1004"/>
    <mergeCell ref="K1013:K1017"/>
    <mergeCell ref="B1020:O1020"/>
    <mergeCell ref="E1021:F1021"/>
    <mergeCell ref="H1021:I1021"/>
    <mergeCell ref="J1021:K1021"/>
    <mergeCell ref="N1021:O1021"/>
    <mergeCell ref="B975:R975"/>
    <mergeCell ref="B991:O991"/>
    <mergeCell ref="E992:F992"/>
    <mergeCell ref="H992:I992"/>
    <mergeCell ref="J992:K992"/>
    <mergeCell ref="N992:O992"/>
    <mergeCell ref="B1033:R1033"/>
    <mergeCell ref="B1048:O1048"/>
    <mergeCell ref="E1049:F1049"/>
    <mergeCell ref="H1049:I1049"/>
    <mergeCell ref="J1049:K1049"/>
    <mergeCell ref="N1049:O1049"/>
    <mergeCell ref="E1050:F1050"/>
    <mergeCell ref="H1050:I1050"/>
    <mergeCell ref="J1050:K1050"/>
    <mergeCell ref="M1050:M1051"/>
    <mergeCell ref="N1050:O1051"/>
    <mergeCell ref="E1051:F1051"/>
    <mergeCell ref="H1051:I1051"/>
    <mergeCell ref="J1051:K1051"/>
    <mergeCell ref="K1042:K1046"/>
  </mergeCells>
  <hyperlinks>
    <hyperlink ref="E28" location="ASIENTO_FAC_COMPRA_1" display="ASIENTO DIARIO" xr:uid="{673FC4A3-D742-4B40-A2E6-5173493B8FD3}"/>
    <hyperlink ref="E56" location="ASIENTO_FAC_COMPRA_2" display="ASIENTO DIARIO" xr:uid="{FFF660FF-EDDA-48D6-8EBB-EB9010892445}"/>
    <hyperlink ref="E84" location="ASIENTO_FAC_COMPRA_3" display="ASIENTO DIARIO" xr:uid="{0E18ED87-2DD8-4BA1-A0FB-F04096179152}"/>
    <hyperlink ref="E112" location="ASIENTO_FAC_COMPRA_4" display="ASIENTO DIARIO" xr:uid="{DDC61E3A-1D7D-4CCA-9208-D1560B4E7A2A}"/>
    <hyperlink ref="E140" location="ASIENTO_FAC_COMPRA_5" display="ASIENTO DIARIO" xr:uid="{B0B6D254-B62F-44FF-B08D-A1E83B998E3B}"/>
    <hyperlink ref="E173" location="ASIENTO_FAC_COMPRA_6" display="ASIENTO DIARIO" xr:uid="{FE4A558E-3434-4062-AFFF-A5CFB3ED9240}"/>
    <hyperlink ref="E201" location="ASIENTO_FAC_COMPRA_7" display="ASIENTO DIARIO" xr:uid="{12AF96C1-D13C-4D57-B16B-A4F65D40568A}"/>
    <hyperlink ref="E224" location="ASIENTO_FAC_COMPRA_8" display="ASIENTO DIARIO" xr:uid="{D6A32B8A-8E66-41CB-B219-159E87C42ACA}"/>
    <hyperlink ref="E247" location="ASIENTO_FAC_COMPRA_9" display="ASIENTO DIARIO" xr:uid="{C7CE8140-A4C9-45CF-8C39-35DD715AD44F}"/>
    <hyperlink ref="E270" location="ASIENTO_FAC_COMPRA_10" display="ASIENTO DIARIO" xr:uid="{25D5ED2B-062A-47EE-A7E0-48F92653A396}"/>
    <hyperlink ref="E292" location="ASIENTO_FAC_COMPRA_11" display="ASIENTO DIARIO" xr:uid="{B738558C-43C5-4710-88B3-DBAF2DEE133C}"/>
    <hyperlink ref="E323" location="ASIENTO_FAC_COMPRA_12" display="ASIENTO DIARIO" xr:uid="{32E14A4D-725C-4EFA-9120-B2B0A5ECBBEB}"/>
    <hyperlink ref="E351" location="ASIENTO_FAC_COMPRA_13" display="ASIENTO DIARIO" xr:uid="{6EA86A1F-000C-4C07-8552-DD396B801750}"/>
    <hyperlink ref="E378" location="ASIENTO_FAC_COMPRA_14" display="ASIENTO DIARIO" xr:uid="{83A7E1AA-442F-4BC1-B694-28FBC9B0E57D}"/>
    <hyperlink ref="E408" location="ASIENTO_FAC_COMPRA_15" display="ASIENTO DIARIO" xr:uid="{9D15C412-AB7D-47DB-ACEA-1C04008E9AAF}"/>
    <hyperlink ref="E436" location="ASIENTO_FAC_COMPRA_16" display="ASIENTO DIARIO" xr:uid="{5007600D-FF7A-496F-8FAF-21EC12D7722A}"/>
    <hyperlink ref="E463" location="ASIENTO_FAC_COMPRA_17" display="ASIENTO DIARIO" xr:uid="{B56BB18C-6963-4C5E-8D28-5908CABE7C30}"/>
    <hyperlink ref="E496" location="ASIENTO_FAC_COMPRA_18" display="ASIENTO DIARIO" xr:uid="{2F7C4E78-6670-49F5-95BD-391C69E06C9B}"/>
    <hyperlink ref="E523" location="ASIENTO_FAC_COMPRA_19" display="ASIENTO DIARIO" xr:uid="{33025B99-C6B8-4A62-AC4E-0783C8376E4C}"/>
    <hyperlink ref="E547" location="ASIENTO_FAC_COMPRA_20" display="ASIENTO DIARIO" xr:uid="{9283BD20-28CA-4A73-98B9-97B458B87068}"/>
    <hyperlink ref="E569" location="ASIENTO_FAC_COMPRA_21" display="ASIENTO DIARIO" xr:uid="{DD24FE39-BA95-4DFA-B35E-DC8D39E78293}"/>
    <hyperlink ref="E593" location="ASIENTO_FAC_COMPRA_22" display="ASIENTO DIARIO" xr:uid="{8F117D56-246E-43BF-AF6B-FA8603C5FECD}"/>
    <hyperlink ref="E616" location="ASIENTO_FAC_COMPRA_23" display="ASIENTO DIARIO" xr:uid="{B07455A7-408A-46ED-AEAF-D42F838F9F7C}"/>
    <hyperlink ref="E647" location="ASIENTO_FAC_COMPRA_24" display="ASIENTO DIARIO" xr:uid="{BE4097A9-3C82-4B36-847A-047C38AE9390}"/>
    <hyperlink ref="E674" location="ASIENTO_FAC_COMPRA_25" display="ASIENTO DIARIO" xr:uid="{2D292204-926F-4208-9B51-A579F8EA9714}"/>
    <hyperlink ref="E702" location="ASIENTO_FAC_COMPRA_26" display="ASIENTO DIARIO" xr:uid="{1958A005-8031-452C-99B0-508E8B43F3B3}"/>
    <hyperlink ref="E730" location="ASIENTO_FAC_COMPRA_27" display="ASIENTO DIARIO" xr:uid="{DA7EE3E0-76C2-4AA3-BFC2-6E89F40F0C0D}"/>
    <hyperlink ref="E759" location="ASIENTO_FAC_COMPRA_28" display="ASIENTO DIARIO" xr:uid="{199303BB-FEA6-49AB-9D10-284559C465E9}"/>
    <hyperlink ref="E786" location="ASIENTO_FAC_COMPRA_29" display="ASIENTO DIARIO" xr:uid="{5C534553-5E00-4768-8075-54DDBE5EACDA}"/>
    <hyperlink ref="E820" location="ASIENTO_FAC_COMPRA_30" display="ASIENTO DIARIO" xr:uid="{A1AE0CFD-7395-4310-8680-BFECE7BD9067}"/>
    <hyperlink ref="E847" location="ASIENTO_FAC_COMPRA_31" display="ASIENTO DIARIO" xr:uid="{DB3DCF08-84A6-4703-AAE5-04C01B5DDE30}"/>
    <hyperlink ref="E870" location="ASIENTO_FAC_COMPRA_32" display="ASIENTO DIARIO" xr:uid="{B484ACEC-0EF0-42B5-8DD6-708C1A48AAC8}"/>
    <hyperlink ref="E893" location="ASIENTO_FAC_COMPRA_33" display="ASIENTO DIARIO" xr:uid="{80B3439D-C794-48F0-AB68-6FB273E1F02C}"/>
    <hyperlink ref="E916" location="ASIENTO_FAC_COMPRA_34" display="ASIENTO DIARIO" xr:uid="{38AB9FC9-E203-4D0D-B5C3-168F6407D7E5}"/>
    <hyperlink ref="E939" location="ASIENTO_FAC_COMPRA_35" display="ASIENTO DIARIO" xr:uid="{164E2F1C-CCD7-4FAE-9228-76AA6F6E109F}"/>
    <hyperlink ref="E966" location="ASIENTO_FAC_COMPRA_36" display="ASIENTO DIARIO" xr:uid="{C0624F6E-E2A0-40F4-9B81-BBAD0ED3B581}"/>
    <hyperlink ref="E997" location="ASIENTO_FAC_COMPRA_37" display="ASIENTO DIARIO" xr:uid="{56D5C960-ED2A-4728-8677-7B48F5B7E8CD}"/>
    <hyperlink ref="E1026" location="ASIENTO_FAC_COMPRA_38" display="ASIENTO DIARIO" xr:uid="{11C9A8AA-DC43-4835-8926-37587A9BB4C8}"/>
    <hyperlink ref="E1054" location="ASIENTO_FAC_COMPRA_39" display="ASIENTO DIARIO" xr:uid="{01BED55D-9460-4AC7-BF0E-CF500CCCFF43}"/>
    <hyperlink ref="E1084" location="ASIENTO_FAC_COMPRA_40" display="ASIENTO DIARIO" xr:uid="{1EC294E4-8F69-4F98-BBF8-99ECBDEEFAB2}"/>
    <hyperlink ref="E1112" location="ASIENTO_FAC_COMPRA_41" display="ASIENTO DIARIO" xr:uid="{3E59C0D0-EFCC-4F26-B2FD-2D7A51F5B158}"/>
    <hyperlink ref="E1147" location="ASIENTO_FAC_COMPRA_42" display="ASIENTO DIARIO" xr:uid="{B7A7DCB8-B469-4A19-B6B3-793317427890}"/>
    <hyperlink ref="E1176" location="ASIENTO_FAC_COMPRA_25" display="ASIENTO DIARIO" xr:uid="{EC0D00EC-5152-4D8D-A55E-60F4FF170652}"/>
    <hyperlink ref="E1200" location="ASIENTO_FAC_COMPRA_25" display="ASIENTO DIARIO" xr:uid="{A6F25125-B841-4D6B-968F-6652721CD90C}"/>
    <hyperlink ref="E1223" location="ASIENTO_FAC_COMPRA_27" display="ASIENTO DIARIO" xr:uid="{C9269853-53ED-486A-BFB2-2E4C2AFF8695}"/>
    <hyperlink ref="E1246" location="ASIENTO_FAC_COMPRA_28" display="ASIENTO DIARIO" xr:uid="{07161369-EAEB-48CA-BB36-E2B3AFB18EE2}"/>
    <hyperlink ref="E1271" location="ASIENTO_FAC_COMPRA_29" display="ASIENTO DIARIO" xr:uid="{4075F015-E392-403F-94AE-EEBD6044E8E7}"/>
    <hyperlink ref="E1304" location="ASIENTO_FAC_COMPRA_30" display="ASIENTO DIARIO" xr:uid="{90B75F09-EFD9-4F14-B5BD-798A7354ECA9}"/>
    <hyperlink ref="E29" location="KARDEX_FAC_COMP_1" display="KARDEX" xr:uid="{41ADDC62-9F97-4C69-9B57-4354B67660DE}"/>
    <hyperlink ref="E57" location="KARDEX_FAC_COMP_2" display="KARDEX" xr:uid="{94D1069F-3043-4E80-9FDF-E1BAE4D52087}"/>
    <hyperlink ref="E85" location="KARDEX_FAC_COMP_3" display="KARDEX" xr:uid="{D2B7D322-F117-4149-B7A9-34D6634A4E93}"/>
    <hyperlink ref="E113" location="KARDEX_FAC_COMP_4" display="KARDEX" xr:uid="{75F5F3AE-5E6B-492D-B590-206A02DC1309}"/>
    <hyperlink ref="E141" location="KARDEX_FAC_COMP_5" display="KARDEX" xr:uid="{43D427A6-AB1C-40A0-89FF-E3EC1AF72D10}"/>
    <hyperlink ref="E174" location="KARDEX_FAC_COMP_6" display="KARDEX" xr:uid="{4DD65E5B-713E-44A6-9417-C626F98B068C}"/>
    <hyperlink ref="E202" location="KARDEX_FAC_COMP_7" display="KARDEX" xr:uid="{D41270F7-CCC6-4C2F-B8C3-2295B402B408}"/>
    <hyperlink ref="E225" location="KARDEX_FAC_COMP_8" display="KARDEX" xr:uid="{AF3C825C-3F49-4216-965E-0149B962BB41}"/>
    <hyperlink ref="E248" location="KARDEX_FAC_COMP_9" display="KARDEX" xr:uid="{0091100C-6924-4B61-B4EC-C374AD714D19}"/>
    <hyperlink ref="E271" location="KARDEX_FAC_COMP_10" display="KARDEX" xr:uid="{D330D091-4AD5-4306-BABF-18BA8758D5AD}"/>
    <hyperlink ref="E293" location="KARDEX_FAC_COMP_11" display="KARDEX" xr:uid="{4DFE718D-281E-4858-9B8C-694E556CAC07}"/>
    <hyperlink ref="E324" location="KARDEX_FAC_COMP_12" display="KARDEX" xr:uid="{B649CEBB-BE2E-4B23-BBEE-53BC28E19E9A}"/>
    <hyperlink ref="E675" location="KARDEX_FAC_COMP_25" display="KARDEX" xr:uid="{67600098-9F4F-474A-9369-31BF5B71B729}"/>
    <hyperlink ref="E703" location="KARDEX_FAC_COMP_26" display="KARDEX" xr:uid="{8CD29983-77B5-42EF-93BD-97F14319F2B6}"/>
    <hyperlink ref="E731" location="KARDEX_FAC_COMP_27" display="KARDEX" xr:uid="{910D5912-6C03-4D0B-928D-ED57637D2E98}"/>
    <hyperlink ref="E760" location="KARDEX_FAC_COMP_28" display="KARDEX" xr:uid="{C90FFC79-9087-4CB6-901F-4F591EF059C3}"/>
    <hyperlink ref="E787" location="KARDEX_FAC_COMP_29" display="KARDEX" xr:uid="{D6404601-932B-4F1D-91DC-388923EF98E6}"/>
    <hyperlink ref="E821" location="KARDEX_FAC_COMP_30" display="KARDEX" xr:uid="{364760B7-F9F5-4742-9F6B-7E526591A4AD}"/>
    <hyperlink ref="E848" location="KARDEX_FAC_COMP_31" display="KARDEX" xr:uid="{E373227B-487F-4756-A3E0-9C7FD090FFE6}"/>
    <hyperlink ref="E871" location="KARDEX_FAC_COMP_32" display="KARDEX" xr:uid="{91DCD88D-F01E-4EF2-A51A-582D60F1690E}"/>
    <hyperlink ref="E894" location="KARDEX_FAC_COMP_33" display="KARDEX" xr:uid="{AFD4DA8B-631F-4B17-AD01-8F0BA288CD19}"/>
    <hyperlink ref="E917" location="KARDEX_FAC_COMP_34" display="KARDEX" xr:uid="{E8A5EB22-9E08-4814-9B89-D0452AAE83D6}"/>
    <hyperlink ref="E940" location="KARDEX_FAC_COMP_35" display="KARDEX" xr:uid="{FDD80722-CF90-4A20-A554-4FD1377AFF87}"/>
    <hyperlink ref="E967" location="KARDEX_FAC_COMP_36" display="KARDEX" xr:uid="{B83E1058-5BFC-41E2-BC8A-ECCC84F9FA46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FBC3-1067-4A63-A255-4B293829174E}">
  <dimension ref="A1:T1312"/>
  <sheetViews>
    <sheetView topLeftCell="H1" zoomScale="70" zoomScaleNormal="70" workbookViewId="0">
      <selection activeCell="B6" sqref="B6:T33"/>
    </sheetView>
  </sheetViews>
  <sheetFormatPr baseColWidth="10" defaultRowHeight="15" x14ac:dyDescent="0.25"/>
  <cols>
    <col min="1" max="1" width="27.5703125" customWidth="1"/>
    <col min="2" max="2" width="25.42578125" bestFit="1" customWidth="1"/>
    <col min="3" max="3" width="42.140625" bestFit="1" customWidth="1"/>
    <col min="4" max="4" width="19.5703125" bestFit="1" customWidth="1"/>
    <col min="5" max="5" width="21.7109375" bestFit="1" customWidth="1"/>
    <col min="6" max="6" width="10.7109375" customWidth="1"/>
    <col min="7" max="7" width="48.28515625" bestFit="1" customWidth="1"/>
    <col min="8" max="8" width="12.5703125" bestFit="1" customWidth="1"/>
    <col min="9" max="9" width="14" bestFit="1" customWidth="1"/>
    <col min="10" max="10" width="15.7109375" bestFit="1" customWidth="1"/>
    <col min="11" max="11" width="13.140625" customWidth="1"/>
    <col min="12" max="12" width="14.5703125" bestFit="1" customWidth="1"/>
    <col min="13" max="13" width="15" bestFit="1" customWidth="1"/>
    <col min="14" max="14" width="14.42578125" bestFit="1" customWidth="1"/>
    <col min="15" max="15" width="15.7109375" bestFit="1" customWidth="1"/>
    <col min="16" max="16" width="25" bestFit="1" customWidth="1"/>
    <col min="17" max="17" width="14.42578125" bestFit="1" customWidth="1"/>
    <col min="18" max="18" width="20.28515625" bestFit="1" customWidth="1"/>
  </cols>
  <sheetData>
    <row r="1" spans="1:20" x14ac:dyDescent="0.25">
      <c r="A1" s="111" t="s">
        <v>383</v>
      </c>
      <c r="B1" s="111"/>
      <c r="C1" s="111"/>
      <c r="D1" s="111"/>
    </row>
    <row r="2" spans="1:20" x14ac:dyDescent="0.25">
      <c r="A2" s="111" t="s">
        <v>1</v>
      </c>
      <c r="B2" s="111"/>
      <c r="C2" s="111"/>
      <c r="D2" s="111"/>
    </row>
    <row r="3" spans="1:20" x14ac:dyDescent="0.25">
      <c r="A3" s="111" t="s">
        <v>384</v>
      </c>
      <c r="B3" s="111"/>
      <c r="C3" s="111"/>
      <c r="D3">
        <v>123456789</v>
      </c>
    </row>
    <row r="5" spans="1:20" ht="26.25" x14ac:dyDescent="0.4">
      <c r="C5" s="34"/>
      <c r="D5" s="34"/>
      <c r="E5" s="34"/>
      <c r="F5" s="34"/>
      <c r="G5" s="34"/>
      <c r="H5" s="34"/>
      <c r="I5" s="34"/>
      <c r="J5" s="34"/>
    </row>
    <row r="6" spans="1:20" ht="26.25" x14ac:dyDescent="0.4">
      <c r="A6" s="34" t="s">
        <v>3</v>
      </c>
      <c r="B6" s="34" t="s">
        <v>92</v>
      </c>
      <c r="C6" s="1" t="s">
        <v>397</v>
      </c>
    </row>
    <row r="7" spans="1:20" x14ac:dyDescent="0.25">
      <c r="B7" s="216" t="s">
        <v>398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</row>
    <row r="8" spans="1:20" x14ac:dyDescent="0.25">
      <c r="B8" s="206" t="s">
        <v>385</v>
      </c>
      <c r="C8" s="3" t="s">
        <v>391</v>
      </c>
      <c r="D8" s="100" t="s">
        <v>8</v>
      </c>
      <c r="E8" s="5" t="s">
        <v>9</v>
      </c>
      <c r="F8" s="5" t="s">
        <v>14</v>
      </c>
      <c r="G8" s="5" t="s">
        <v>10</v>
      </c>
      <c r="H8" s="5" t="s">
        <v>11</v>
      </c>
      <c r="I8" s="5" t="s">
        <v>148</v>
      </c>
      <c r="J8" s="5" t="s">
        <v>149</v>
      </c>
      <c r="K8" s="5" t="s">
        <v>12</v>
      </c>
      <c r="L8" s="5" t="s">
        <v>13</v>
      </c>
      <c r="M8" s="5" t="s">
        <v>40</v>
      </c>
      <c r="N8" s="5" t="s">
        <v>14</v>
      </c>
      <c r="O8" s="5" t="s">
        <v>15</v>
      </c>
      <c r="P8" s="5" t="s">
        <v>16</v>
      </c>
      <c r="Q8" s="5" t="s">
        <v>17</v>
      </c>
      <c r="R8" s="5" t="s">
        <v>18</v>
      </c>
      <c r="S8" s="5" t="s">
        <v>459</v>
      </c>
      <c r="T8" s="5" t="s">
        <v>460</v>
      </c>
    </row>
    <row r="9" spans="1:20" x14ac:dyDescent="0.25">
      <c r="B9" s="206" t="s">
        <v>386</v>
      </c>
      <c r="C9" s="3" t="s">
        <v>392</v>
      </c>
      <c r="D9" s="95">
        <v>15</v>
      </c>
      <c r="E9" s="95" t="s">
        <v>41</v>
      </c>
      <c r="F9" s="43">
        <v>0.12</v>
      </c>
      <c r="G9" s="7" t="s">
        <v>104</v>
      </c>
      <c r="H9" s="51">
        <v>1.96</v>
      </c>
      <c r="I9" s="51">
        <f>+IF(F9=0%,D9*H9,0)</f>
        <v>0</v>
      </c>
      <c r="J9" s="51">
        <f>+IF(F9=12%,D9*H9,0)</f>
        <v>29.4</v>
      </c>
      <c r="K9" s="52">
        <v>0</v>
      </c>
      <c r="L9" s="53">
        <v>0</v>
      </c>
      <c r="M9" s="53">
        <f>+J9*K9</f>
        <v>0</v>
      </c>
      <c r="N9" s="53">
        <f>+(J9-M9)*F9</f>
        <v>3.5279999999999996</v>
      </c>
      <c r="O9" s="53">
        <f>+J9-M9+N9</f>
        <v>32.927999999999997</v>
      </c>
      <c r="P9" s="7" t="s">
        <v>45</v>
      </c>
      <c r="Q9" s="7" t="s">
        <v>46</v>
      </c>
      <c r="R9" s="7" t="s">
        <v>45</v>
      </c>
      <c r="S9" s="7">
        <f>+KARDEX!K83</f>
        <v>1.4566071428571432</v>
      </c>
      <c r="T9" s="7">
        <f>+S9*D9</f>
        <v>21.849107142857147</v>
      </c>
    </row>
    <row r="10" spans="1:20" x14ac:dyDescent="0.25">
      <c r="B10" s="206" t="s">
        <v>387</v>
      </c>
      <c r="C10" s="3" t="s">
        <v>393</v>
      </c>
      <c r="D10" s="95">
        <v>12.37</v>
      </c>
      <c r="E10" s="95" t="s">
        <v>42</v>
      </c>
      <c r="F10" s="43">
        <v>0.12</v>
      </c>
      <c r="G10" s="7" t="s">
        <v>106</v>
      </c>
      <c r="H10" s="51">
        <v>4</v>
      </c>
      <c r="I10" s="51">
        <f>+IF(F10=0%,D10*H10,0)</f>
        <v>0</v>
      </c>
      <c r="J10" s="51">
        <f>+IF(F10=12%,D10*H10,0)</f>
        <v>49.48</v>
      </c>
      <c r="K10" s="52">
        <v>0</v>
      </c>
      <c r="L10" s="53">
        <v>0</v>
      </c>
      <c r="M10" s="53">
        <f>+J10*K10</f>
        <v>0</v>
      </c>
      <c r="N10" s="53">
        <f>+(J10-M10)*F10</f>
        <v>5.9375999999999998</v>
      </c>
      <c r="O10" s="53">
        <f>+J10-M10+N10</f>
        <v>55.417599999999993</v>
      </c>
      <c r="P10" s="7" t="s">
        <v>45</v>
      </c>
      <c r="Q10" s="95" t="s">
        <v>46</v>
      </c>
      <c r="R10" s="7" t="s">
        <v>45</v>
      </c>
      <c r="S10" s="7">
        <f>+KARDEX!K84</f>
        <v>2.8802720277416012</v>
      </c>
      <c r="T10" s="7">
        <f t="shared" ref="T10:T12" si="0">+S10*D10</f>
        <v>35.628964983163605</v>
      </c>
    </row>
    <row r="11" spans="1:20" ht="30" x14ac:dyDescent="0.25">
      <c r="B11" s="206" t="s">
        <v>388</v>
      </c>
      <c r="C11" s="8" t="s">
        <v>394</v>
      </c>
      <c r="D11" s="97">
        <v>22.46</v>
      </c>
      <c r="E11" s="95" t="s">
        <v>43</v>
      </c>
      <c r="F11" s="43">
        <v>0.12</v>
      </c>
      <c r="G11" s="7" t="s">
        <v>108</v>
      </c>
      <c r="H11" s="51">
        <v>4.3899999999999997</v>
      </c>
      <c r="I11" s="51">
        <f>+IF(F11=0%,D11*H11,0)</f>
        <v>0</v>
      </c>
      <c r="J11" s="51">
        <f>+IF(F11=12%,D11*H11,0)</f>
        <v>98.599400000000003</v>
      </c>
      <c r="K11" s="52">
        <v>0</v>
      </c>
      <c r="L11" s="53">
        <v>0</v>
      </c>
      <c r="M11" s="53">
        <f>+J11*K11</f>
        <v>0</v>
      </c>
      <c r="N11" s="53">
        <f>+(J11-M11)*F11</f>
        <v>11.831928</v>
      </c>
      <c r="O11" s="53">
        <f>+J11-M11+N11</f>
        <v>110.43132800000001</v>
      </c>
      <c r="P11" s="7" t="s">
        <v>45</v>
      </c>
      <c r="Q11" s="95" t="s">
        <v>46</v>
      </c>
      <c r="R11" s="7" t="s">
        <v>45</v>
      </c>
      <c r="S11" s="7">
        <f>+KARDEX!K85</f>
        <v>3.2521585951940843</v>
      </c>
      <c r="T11" s="7">
        <f t="shared" si="0"/>
        <v>73.043482048059133</v>
      </c>
    </row>
    <row r="12" spans="1:20" x14ac:dyDescent="0.25">
      <c r="B12" s="206" t="s">
        <v>29</v>
      </c>
      <c r="C12" s="3">
        <v>18</v>
      </c>
      <c r="D12" s="97">
        <v>8.67</v>
      </c>
      <c r="E12" s="95" t="s">
        <v>44</v>
      </c>
      <c r="F12" s="43">
        <v>0.12</v>
      </c>
      <c r="G12" s="7" t="s">
        <v>110</v>
      </c>
      <c r="H12" s="51">
        <v>1.69</v>
      </c>
      <c r="I12" s="51">
        <f>+IF(F12=0%,D12*H12,0)</f>
        <v>0</v>
      </c>
      <c r="J12" s="51">
        <f>+IF(F12=12%,D12*H12,0)</f>
        <v>14.652299999999999</v>
      </c>
      <c r="K12" s="52">
        <v>0</v>
      </c>
      <c r="L12" s="53">
        <v>0</v>
      </c>
      <c r="M12" s="53">
        <f>+J12*K12</f>
        <v>0</v>
      </c>
      <c r="N12" s="53">
        <f>+(J12-M12)*F12</f>
        <v>1.7582759999999997</v>
      </c>
      <c r="O12" s="53">
        <f>+J12-M12+N12</f>
        <v>16.410575999999999</v>
      </c>
      <c r="P12" s="7" t="s">
        <v>45</v>
      </c>
      <c r="Q12" s="95" t="s">
        <v>46</v>
      </c>
      <c r="R12" s="7" t="s">
        <v>45</v>
      </c>
      <c r="S12" s="7">
        <f>+KARDEX!K86</f>
        <v>1.2499999999999998</v>
      </c>
      <c r="T12" s="7">
        <f t="shared" si="0"/>
        <v>10.837499999999999</v>
      </c>
    </row>
    <row r="13" spans="1:20" x14ac:dyDescent="0.25">
      <c r="B13" s="206" t="s">
        <v>389</v>
      </c>
      <c r="C13" s="3" t="s">
        <v>395</v>
      </c>
      <c r="D13" s="95"/>
      <c r="E13" s="95"/>
      <c r="F13" s="95"/>
      <c r="G13" s="7"/>
      <c r="H13" s="10"/>
      <c r="I13" s="10"/>
      <c r="J13" s="10"/>
      <c r="K13" s="10"/>
      <c r="L13" s="95"/>
      <c r="M13" s="10"/>
      <c r="N13" s="10"/>
      <c r="O13" s="11"/>
      <c r="P13" s="7"/>
      <c r="Q13" s="95"/>
      <c r="R13" s="7"/>
      <c r="S13" s="7"/>
      <c r="T13" s="7"/>
    </row>
    <row r="14" spans="1:20" x14ac:dyDescent="0.25">
      <c r="B14" s="206" t="s">
        <v>390</v>
      </c>
      <c r="C14" s="3" t="s">
        <v>396</v>
      </c>
      <c r="D14" s="95"/>
      <c r="E14" s="95"/>
      <c r="F14" s="95"/>
      <c r="G14" s="95"/>
      <c r="H14" s="10"/>
      <c r="I14" s="10"/>
      <c r="J14" s="10"/>
      <c r="K14" s="10"/>
      <c r="L14" s="95"/>
      <c r="M14" s="10"/>
      <c r="N14" s="10"/>
      <c r="O14" s="11"/>
      <c r="P14" s="95"/>
      <c r="Q14" s="95"/>
      <c r="R14" s="7"/>
      <c r="S14" s="7"/>
      <c r="T14" s="7">
        <f>SUM(T9:T13)</f>
        <v>141.35905417407989</v>
      </c>
    </row>
    <row r="15" spans="1:20" ht="15.75" thickBot="1" x14ac:dyDescent="0.3">
      <c r="B15" s="206" t="s">
        <v>31</v>
      </c>
      <c r="C15" s="21">
        <v>43513</v>
      </c>
      <c r="D15" s="39" t="s">
        <v>148</v>
      </c>
      <c r="E15" s="49">
        <f>+SUM(I9:I12)</f>
        <v>0</v>
      </c>
      <c r="G15" s="23"/>
      <c r="H15" s="41"/>
      <c r="I15" s="41"/>
      <c r="J15" s="41"/>
      <c r="K15" s="41"/>
      <c r="L15" s="23"/>
      <c r="M15" s="41"/>
      <c r="N15" s="41"/>
      <c r="O15" s="42"/>
      <c r="P15" s="23"/>
      <c r="Q15" s="23"/>
      <c r="R15" s="22"/>
    </row>
    <row r="16" spans="1:20" ht="15.75" thickBot="1" x14ac:dyDescent="0.3">
      <c r="B16" s="206" t="s">
        <v>32</v>
      </c>
      <c r="C16" s="3" t="s">
        <v>33</v>
      </c>
      <c r="D16" s="16" t="s">
        <v>36</v>
      </c>
      <c r="E16" s="50">
        <f>+SUM(J9:J14)</f>
        <v>192.1317</v>
      </c>
      <c r="G16" s="23"/>
      <c r="H16" s="41"/>
      <c r="I16" s="41"/>
      <c r="J16" s="41"/>
      <c r="K16" s="41"/>
      <c r="L16" s="23"/>
      <c r="M16" s="41"/>
      <c r="N16" s="41"/>
      <c r="O16" s="42"/>
      <c r="P16" s="23"/>
      <c r="Q16" s="23"/>
      <c r="R16" s="22"/>
    </row>
    <row r="17" spans="2:15" ht="15.75" thickBot="1" x14ac:dyDescent="0.3">
      <c r="B17" s="206" t="s">
        <v>35</v>
      </c>
      <c r="C17" s="3" t="s">
        <v>33</v>
      </c>
      <c r="D17" s="16" t="s">
        <v>39</v>
      </c>
      <c r="E17" s="50">
        <f>SUM(M9:M14)</f>
        <v>0</v>
      </c>
    </row>
    <row r="18" spans="2:15" ht="15.75" thickBot="1" x14ac:dyDescent="0.3">
      <c r="B18" s="206" t="s">
        <v>37</v>
      </c>
      <c r="C18" s="3">
        <v>100</v>
      </c>
      <c r="D18" s="16" t="s">
        <v>14</v>
      </c>
      <c r="E18" s="50">
        <f>SUM(N9:N14)</f>
        <v>23.055803999999998</v>
      </c>
    </row>
    <row r="19" spans="2:15" ht="15.75" thickBot="1" x14ac:dyDescent="0.3">
      <c r="B19" s="2"/>
      <c r="C19" s="15"/>
      <c r="D19" s="16" t="s">
        <v>15</v>
      </c>
      <c r="E19" s="50">
        <f>SUM(O9:O14)</f>
        <v>215.18750399999999</v>
      </c>
    </row>
    <row r="20" spans="2:15" x14ac:dyDescent="0.25">
      <c r="B20" s="18"/>
      <c r="C20" s="18"/>
    </row>
    <row r="21" spans="2:15" x14ac:dyDescent="0.25">
      <c r="B21" s="18"/>
      <c r="C21" s="18"/>
    </row>
    <row r="22" spans="2:15" x14ac:dyDescent="0.25">
      <c r="B22" s="114" t="s">
        <v>399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</row>
    <row r="23" spans="2:15" x14ac:dyDescent="0.25">
      <c r="B23" s="2" t="s">
        <v>48</v>
      </c>
      <c r="C23" s="15" t="s">
        <v>33</v>
      </c>
      <c r="D23" s="19" t="s">
        <v>16</v>
      </c>
      <c r="E23" s="115" t="s">
        <v>152</v>
      </c>
      <c r="F23" s="116"/>
      <c r="G23" s="99" t="s">
        <v>150</v>
      </c>
      <c r="H23" s="117" t="s">
        <v>49</v>
      </c>
      <c r="I23" s="118"/>
      <c r="J23" s="117" t="s">
        <v>151</v>
      </c>
      <c r="K23" s="118"/>
      <c r="L23" s="5" t="s">
        <v>50</v>
      </c>
      <c r="M23" s="5" t="s">
        <v>51</v>
      </c>
      <c r="N23" s="117" t="s">
        <v>155</v>
      </c>
      <c r="O23" s="118"/>
    </row>
    <row r="24" spans="2:15" x14ac:dyDescent="0.25">
      <c r="B24" s="218" t="s">
        <v>52</v>
      </c>
      <c r="C24" s="15" t="s">
        <v>33</v>
      </c>
      <c r="D24" s="95" t="s">
        <v>166</v>
      </c>
      <c r="E24" s="119" t="s">
        <v>463</v>
      </c>
      <c r="F24" s="119"/>
      <c r="G24" s="96">
        <v>731</v>
      </c>
      <c r="H24" s="120" t="s">
        <v>14</v>
      </c>
      <c r="I24" s="121"/>
      <c r="J24" s="122">
        <v>1</v>
      </c>
      <c r="K24" s="123"/>
      <c r="L24" s="54">
        <f>+E18*J24</f>
        <v>23.055803999999998</v>
      </c>
      <c r="M24" s="131">
        <f>+L24+L25</f>
        <v>24.977120999999997</v>
      </c>
      <c r="N24" s="133">
        <f>+E19-M24</f>
        <v>190.21038299999998</v>
      </c>
      <c r="O24" s="134"/>
    </row>
    <row r="25" spans="2:15" x14ac:dyDescent="0.25">
      <c r="B25" s="218" t="s">
        <v>53</v>
      </c>
      <c r="C25" s="15" t="s">
        <v>162</v>
      </c>
      <c r="D25" s="97" t="s">
        <v>165</v>
      </c>
      <c r="E25" s="119" t="s">
        <v>462</v>
      </c>
      <c r="F25" s="119"/>
      <c r="G25" s="96">
        <v>309</v>
      </c>
      <c r="H25" s="120" t="s">
        <v>153</v>
      </c>
      <c r="I25" s="121"/>
      <c r="J25" s="122">
        <v>0.01</v>
      </c>
      <c r="K25" s="123"/>
      <c r="L25" s="54">
        <f>(E16+E15-E17)*J25</f>
        <v>1.9213169999999999</v>
      </c>
      <c r="M25" s="132"/>
      <c r="N25" s="135"/>
      <c r="O25" s="136"/>
    </row>
    <row r="26" spans="2:15" x14ac:dyDescent="0.25">
      <c r="B26" s="218" t="s">
        <v>461</v>
      </c>
      <c r="C26" s="219">
        <v>1123134181</v>
      </c>
    </row>
    <row r="27" spans="2:15" x14ac:dyDescent="0.25">
      <c r="B27" s="2" t="s">
        <v>55</v>
      </c>
      <c r="C27" s="3" t="str">
        <f>+CONCATENATE(C16,"-",C17,"-",C18)</f>
        <v>001-001-100</v>
      </c>
    </row>
    <row r="28" spans="2:15" x14ac:dyDescent="0.25">
      <c r="B28" s="2" t="s">
        <v>57</v>
      </c>
      <c r="C28" s="21">
        <f>+C15</f>
        <v>43513</v>
      </c>
      <c r="D28" s="22"/>
      <c r="E28" s="28" t="s">
        <v>279</v>
      </c>
      <c r="F28" s="23"/>
      <c r="G28" t="s">
        <v>464</v>
      </c>
      <c r="H28" s="23"/>
      <c r="I28" s="23"/>
      <c r="J28" s="24"/>
      <c r="K28" s="24"/>
      <c r="L28" s="25"/>
      <c r="M28" s="26"/>
      <c r="N28" s="22"/>
      <c r="O28" s="22"/>
    </row>
    <row r="29" spans="2:15" x14ac:dyDescent="0.25">
      <c r="B29" s="2" t="s">
        <v>86</v>
      </c>
      <c r="C29" s="21" t="s">
        <v>87</v>
      </c>
      <c r="D29" s="22"/>
      <c r="E29" s="28" t="s">
        <v>330</v>
      </c>
      <c r="F29" s="23"/>
      <c r="G29" t="s">
        <v>465</v>
      </c>
      <c r="H29" s="23"/>
      <c r="I29" s="23"/>
      <c r="J29" s="24"/>
      <c r="K29" s="24"/>
      <c r="L29" s="25"/>
      <c r="M29" s="26"/>
      <c r="N29" s="22"/>
      <c r="O29" s="22"/>
    </row>
    <row r="30" spans="2:15" x14ac:dyDescent="0.25">
      <c r="B30" s="2" t="s">
        <v>59</v>
      </c>
      <c r="C30" s="21" t="s">
        <v>84</v>
      </c>
      <c r="D30" s="22"/>
      <c r="E30" s="23"/>
      <c r="F30" s="23"/>
      <c r="H30" s="23"/>
      <c r="I30" s="23"/>
      <c r="J30" s="24"/>
      <c r="K30" s="24"/>
      <c r="L30" s="25"/>
      <c r="M30" s="26"/>
      <c r="N30" s="22"/>
      <c r="O30" s="22"/>
    </row>
    <row r="31" spans="2:15" x14ac:dyDescent="0.25">
      <c r="B31" s="2" t="s">
        <v>60</v>
      </c>
      <c r="C31" s="21" t="s">
        <v>458</v>
      </c>
      <c r="D31" s="22"/>
      <c r="E31" s="28"/>
      <c r="G31" s="23"/>
      <c r="H31" s="24"/>
      <c r="I31" s="24"/>
      <c r="J31" s="24"/>
      <c r="K31" s="25"/>
      <c r="L31" s="26"/>
      <c r="M31" s="22"/>
      <c r="N31" s="22"/>
    </row>
    <row r="32" spans="2:15" x14ac:dyDescent="0.25">
      <c r="B32" s="2" t="s">
        <v>61</v>
      </c>
      <c r="C32" s="27">
        <f>+E19-M24</f>
        <v>190.21038299999998</v>
      </c>
      <c r="G32" t="s">
        <v>476</v>
      </c>
    </row>
    <row r="33" spans="1:20" x14ac:dyDescent="0.25">
      <c r="B33" s="2" t="s">
        <v>343</v>
      </c>
      <c r="C33" s="27" t="s">
        <v>84</v>
      </c>
    </row>
    <row r="35" spans="1:20" ht="26.25" x14ac:dyDescent="0.4">
      <c r="A35" s="34" t="s">
        <v>3</v>
      </c>
      <c r="B35" s="34" t="s">
        <v>93</v>
      </c>
      <c r="C35" s="1" t="s">
        <v>400</v>
      </c>
    </row>
    <row r="36" spans="1:20" x14ac:dyDescent="0.25">
      <c r="B36" s="112" t="s">
        <v>398</v>
      </c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</row>
    <row r="37" spans="1:20" x14ac:dyDescent="0.25">
      <c r="B37" s="206" t="s">
        <v>385</v>
      </c>
      <c r="C37" s="3" t="s">
        <v>391</v>
      </c>
      <c r="D37" s="100" t="s">
        <v>8</v>
      </c>
      <c r="E37" s="5" t="s">
        <v>9</v>
      </c>
      <c r="F37" s="5" t="s">
        <v>14</v>
      </c>
      <c r="G37" s="5" t="s">
        <v>10</v>
      </c>
      <c r="H37" s="5" t="s">
        <v>11</v>
      </c>
      <c r="I37" s="5" t="s">
        <v>148</v>
      </c>
      <c r="J37" s="5" t="s">
        <v>149</v>
      </c>
      <c r="K37" s="5" t="s">
        <v>12</v>
      </c>
      <c r="L37" s="5" t="s">
        <v>13</v>
      </c>
      <c r="M37" s="5" t="s">
        <v>40</v>
      </c>
      <c r="N37" s="5" t="s">
        <v>14</v>
      </c>
      <c r="O37" s="5" t="s">
        <v>15</v>
      </c>
      <c r="P37" s="5" t="s">
        <v>16</v>
      </c>
      <c r="Q37" s="5" t="s">
        <v>17</v>
      </c>
      <c r="R37" s="5" t="s">
        <v>18</v>
      </c>
      <c r="S37" s="5" t="s">
        <v>459</v>
      </c>
      <c r="T37" s="5" t="s">
        <v>460</v>
      </c>
    </row>
    <row r="38" spans="1:20" x14ac:dyDescent="0.25">
      <c r="B38" s="206" t="s">
        <v>386</v>
      </c>
      <c r="C38" s="3" t="s">
        <v>392</v>
      </c>
      <c r="D38" s="95">
        <v>12</v>
      </c>
      <c r="E38" s="95" t="s">
        <v>41</v>
      </c>
      <c r="F38" s="43">
        <v>0.12</v>
      </c>
      <c r="G38" s="7" t="s">
        <v>104</v>
      </c>
      <c r="H38" s="51">
        <v>1.96</v>
      </c>
      <c r="I38" s="51">
        <f>+IF(F38=0%,D38*H38,0)</f>
        <v>0</v>
      </c>
      <c r="J38" s="51">
        <f>+IF(F38=12%,D38*H38,0)</f>
        <v>23.52</v>
      </c>
      <c r="K38" s="52">
        <v>0</v>
      </c>
      <c r="L38" s="53">
        <v>0</v>
      </c>
      <c r="M38" s="53">
        <f>+J38*K38</f>
        <v>0</v>
      </c>
      <c r="N38" s="53">
        <f>+(J38-M38)*F38</f>
        <v>2.8224</v>
      </c>
      <c r="O38" s="53">
        <f>+J38-M38+N38</f>
        <v>26.342399999999998</v>
      </c>
      <c r="P38" s="7" t="s">
        <v>45</v>
      </c>
      <c r="Q38" s="7" t="s">
        <v>46</v>
      </c>
      <c r="R38" s="7" t="s">
        <v>45</v>
      </c>
      <c r="S38" s="7">
        <v>1.4500000000000004</v>
      </c>
      <c r="T38" s="7">
        <v>21.750000000000007</v>
      </c>
    </row>
    <row r="39" spans="1:20" x14ac:dyDescent="0.25">
      <c r="B39" s="206" t="s">
        <v>387</v>
      </c>
      <c r="C39" s="3" t="s">
        <v>393</v>
      </c>
      <c r="D39" s="95">
        <v>24</v>
      </c>
      <c r="E39" s="95" t="s">
        <v>42</v>
      </c>
      <c r="F39" s="43">
        <v>0.12</v>
      </c>
      <c r="G39" s="7" t="s">
        <v>106</v>
      </c>
      <c r="H39" s="51">
        <v>4</v>
      </c>
      <c r="I39" s="51">
        <f>+IF(F39=0%,D39*H39,0)</f>
        <v>0</v>
      </c>
      <c r="J39" s="51">
        <f>+IF(F39=12%,D39*H39,0)</f>
        <v>96</v>
      </c>
      <c r="K39" s="52">
        <v>0</v>
      </c>
      <c r="L39" s="53">
        <v>0</v>
      </c>
      <c r="M39" s="53">
        <f>+J39*K39</f>
        <v>0</v>
      </c>
      <c r="N39" s="53">
        <f>+(J39-M39)*F39</f>
        <v>11.52</v>
      </c>
      <c r="O39" s="53">
        <f>+J39-M39+N39</f>
        <v>107.52</v>
      </c>
      <c r="P39" s="7" t="s">
        <v>45</v>
      </c>
      <c r="Q39" s="95" t="s">
        <v>46</v>
      </c>
      <c r="R39" s="7" t="s">
        <v>45</v>
      </c>
      <c r="S39" s="7">
        <v>2.9599999999999991</v>
      </c>
      <c r="T39" s="7">
        <v>36.615199999999987</v>
      </c>
    </row>
    <row r="40" spans="1:20" ht="30" x14ac:dyDescent="0.25">
      <c r="B40" s="206" t="s">
        <v>388</v>
      </c>
      <c r="C40" s="8" t="s">
        <v>394</v>
      </c>
      <c r="D40" s="97">
        <v>2.56</v>
      </c>
      <c r="E40" s="95" t="s">
        <v>43</v>
      </c>
      <c r="F40" s="43">
        <v>0.12</v>
      </c>
      <c r="G40" s="7" t="s">
        <v>108</v>
      </c>
      <c r="H40" s="51">
        <v>4.3899999999999997</v>
      </c>
      <c r="I40" s="51">
        <f>+IF(F40=0%,D40*H40,0)</f>
        <v>0</v>
      </c>
      <c r="J40" s="51">
        <f>+IF(F40=12%,D40*H40,0)</f>
        <v>11.238399999999999</v>
      </c>
      <c r="K40" s="52">
        <v>0</v>
      </c>
      <c r="L40" s="53">
        <v>0</v>
      </c>
      <c r="M40" s="53">
        <f>+J40*K40</f>
        <v>0</v>
      </c>
      <c r="N40" s="53">
        <f>+(J40-M40)*F40</f>
        <v>1.3486079999999998</v>
      </c>
      <c r="O40" s="53">
        <f>+J40-M40+N40</f>
        <v>12.587007999999999</v>
      </c>
      <c r="P40" s="7" t="s">
        <v>45</v>
      </c>
      <c r="Q40" s="95" t="s">
        <v>46</v>
      </c>
      <c r="R40" s="7" t="s">
        <v>45</v>
      </c>
      <c r="S40" s="7">
        <v>3.2499999999999991</v>
      </c>
      <c r="T40" s="7">
        <v>72.994999999999976</v>
      </c>
    </row>
    <row r="41" spans="1:20" x14ac:dyDescent="0.25">
      <c r="B41" s="206" t="s">
        <v>29</v>
      </c>
      <c r="C41" s="3">
        <v>18</v>
      </c>
      <c r="D41" s="97">
        <v>3.65</v>
      </c>
      <c r="E41" s="95" t="s">
        <v>44</v>
      </c>
      <c r="F41" s="43">
        <v>0.12</v>
      </c>
      <c r="G41" s="7" t="s">
        <v>110</v>
      </c>
      <c r="H41" s="51">
        <v>1.69</v>
      </c>
      <c r="I41" s="51">
        <f>+IF(F41=0%,D41*H41,0)</f>
        <v>0</v>
      </c>
      <c r="J41" s="51">
        <f>+IF(F41=12%,D41*H41,0)</f>
        <v>6.1684999999999999</v>
      </c>
      <c r="K41" s="52">
        <v>0</v>
      </c>
      <c r="L41" s="53">
        <v>0</v>
      </c>
      <c r="M41" s="53">
        <f>+J41*K41</f>
        <v>0</v>
      </c>
      <c r="N41" s="53">
        <f>+(J41-M41)*F41</f>
        <v>0.74021999999999999</v>
      </c>
      <c r="O41" s="53">
        <f>+J41-M41+N41</f>
        <v>6.9087199999999998</v>
      </c>
      <c r="P41" s="7" t="s">
        <v>45</v>
      </c>
      <c r="Q41" s="95" t="s">
        <v>46</v>
      </c>
      <c r="R41" s="7" t="s">
        <v>45</v>
      </c>
      <c r="S41" s="7">
        <v>1.25</v>
      </c>
      <c r="T41" s="7">
        <v>10.8375</v>
      </c>
    </row>
    <row r="42" spans="1:20" x14ac:dyDescent="0.25">
      <c r="B42" s="206" t="s">
        <v>389</v>
      </c>
      <c r="C42" s="3" t="s">
        <v>395</v>
      </c>
      <c r="D42" s="95"/>
      <c r="E42" s="95"/>
      <c r="F42" s="95"/>
      <c r="G42" s="95"/>
      <c r="H42" s="10"/>
      <c r="I42" s="10"/>
      <c r="J42" s="10"/>
      <c r="K42" s="10"/>
      <c r="L42" s="95"/>
      <c r="M42" s="10"/>
      <c r="N42" s="10"/>
      <c r="O42" s="11"/>
      <c r="P42" s="7"/>
      <c r="Q42" s="95"/>
      <c r="R42" s="7"/>
      <c r="S42" s="7"/>
      <c r="T42" s="7"/>
    </row>
    <row r="43" spans="1:20" x14ac:dyDescent="0.25">
      <c r="B43" s="206" t="s">
        <v>390</v>
      </c>
      <c r="C43" s="3" t="s">
        <v>396</v>
      </c>
      <c r="D43" s="95"/>
      <c r="E43" s="95"/>
      <c r="F43" s="95"/>
      <c r="G43" s="95"/>
      <c r="H43" s="10"/>
      <c r="I43" s="10"/>
      <c r="J43" s="10"/>
      <c r="K43" s="10"/>
      <c r="L43" s="95"/>
      <c r="M43" s="10"/>
      <c r="N43" s="10"/>
      <c r="O43" s="11"/>
      <c r="P43" s="95"/>
      <c r="Q43" s="95"/>
      <c r="R43" s="7"/>
      <c r="S43" s="7"/>
      <c r="T43" s="7">
        <v>142.19769999999997</v>
      </c>
    </row>
    <row r="44" spans="1:20" ht="15.75" thickBot="1" x14ac:dyDescent="0.3">
      <c r="B44" s="206" t="s">
        <v>31</v>
      </c>
      <c r="C44" s="21">
        <v>43513</v>
      </c>
      <c r="D44" s="39" t="s">
        <v>34</v>
      </c>
      <c r="E44" s="40">
        <f>+SUM(I38:I41)</f>
        <v>0</v>
      </c>
      <c r="F44" s="23"/>
      <c r="G44" s="23"/>
      <c r="H44" s="41"/>
      <c r="I44" s="41"/>
      <c r="J44" s="41"/>
      <c r="K44" s="41"/>
      <c r="L44" s="23"/>
      <c r="M44" s="41"/>
      <c r="N44" s="41"/>
      <c r="O44" s="42"/>
      <c r="P44" s="23"/>
      <c r="Q44" s="23"/>
      <c r="R44" s="22"/>
    </row>
    <row r="45" spans="1:20" ht="15.75" thickBot="1" x14ac:dyDescent="0.3">
      <c r="B45" s="206" t="s">
        <v>32</v>
      </c>
      <c r="C45" s="3" t="s">
        <v>33</v>
      </c>
      <c r="D45" s="16" t="s">
        <v>36</v>
      </c>
      <c r="E45" s="17">
        <f>+SUM(J38:J43)</f>
        <v>136.92689999999999</v>
      </c>
      <c r="F45" s="23"/>
      <c r="G45" s="23"/>
      <c r="H45" s="41"/>
      <c r="I45" s="41"/>
      <c r="J45" s="41"/>
      <c r="K45" s="41"/>
      <c r="L45" s="23"/>
      <c r="M45" s="41"/>
      <c r="N45" s="41"/>
      <c r="O45" s="42"/>
      <c r="P45" s="23"/>
      <c r="Q45" s="23"/>
      <c r="R45" s="22"/>
    </row>
    <row r="46" spans="1:20" ht="15.75" thickBot="1" x14ac:dyDescent="0.3">
      <c r="B46" s="206" t="s">
        <v>35</v>
      </c>
      <c r="C46" s="3" t="s">
        <v>33</v>
      </c>
      <c r="D46" s="16" t="s">
        <v>39</v>
      </c>
      <c r="E46" s="17">
        <f>SUM(M38:M43)</f>
        <v>0</v>
      </c>
      <c r="F46" s="23"/>
    </row>
    <row r="47" spans="1:20" ht="15.75" thickBot="1" x14ac:dyDescent="0.3">
      <c r="B47" s="206" t="s">
        <v>37</v>
      </c>
      <c r="C47" s="3">
        <v>101</v>
      </c>
      <c r="D47" s="16" t="s">
        <v>14</v>
      </c>
      <c r="E47" s="17">
        <f>SUM(N38:N43)</f>
        <v>16.431228000000001</v>
      </c>
      <c r="F47" s="23"/>
    </row>
    <row r="48" spans="1:20" ht="15.75" thickBot="1" x14ac:dyDescent="0.3">
      <c r="B48" s="2"/>
      <c r="C48" s="15"/>
      <c r="D48" s="16" t="s">
        <v>15</v>
      </c>
      <c r="E48" s="17">
        <f>SUM(O38:O43)</f>
        <v>153.35812799999997</v>
      </c>
      <c r="F48" s="23"/>
    </row>
    <row r="49" spans="1:15" x14ac:dyDescent="0.25">
      <c r="B49" s="18"/>
      <c r="C49" s="18"/>
    </row>
    <row r="50" spans="1:15" x14ac:dyDescent="0.25">
      <c r="B50" s="18"/>
      <c r="C50" s="18"/>
    </row>
    <row r="51" spans="1:15" x14ac:dyDescent="0.25">
      <c r="B51" s="114" t="s">
        <v>399</v>
      </c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</row>
    <row r="52" spans="1:15" x14ac:dyDescent="0.25">
      <c r="B52" s="2" t="s">
        <v>48</v>
      </c>
      <c r="C52" s="15" t="s">
        <v>33</v>
      </c>
      <c r="D52" s="19" t="s">
        <v>16</v>
      </c>
      <c r="E52" s="115" t="s">
        <v>152</v>
      </c>
      <c r="F52" s="116"/>
      <c r="G52" s="99" t="s">
        <v>150</v>
      </c>
      <c r="H52" s="117" t="s">
        <v>49</v>
      </c>
      <c r="I52" s="118"/>
      <c r="J52" s="117" t="s">
        <v>151</v>
      </c>
      <c r="K52" s="118"/>
      <c r="L52" s="5" t="s">
        <v>50</v>
      </c>
      <c r="M52" s="5" t="s">
        <v>51</v>
      </c>
      <c r="N52" s="117" t="s">
        <v>155</v>
      </c>
      <c r="O52" s="118"/>
    </row>
    <row r="53" spans="1:15" x14ac:dyDescent="0.25">
      <c r="B53" s="218" t="s">
        <v>52</v>
      </c>
      <c r="C53" s="15" t="s">
        <v>33</v>
      </c>
      <c r="D53" s="95" t="s">
        <v>169</v>
      </c>
      <c r="E53" s="119" t="s">
        <v>466</v>
      </c>
      <c r="F53" s="119"/>
      <c r="G53" s="96">
        <v>725</v>
      </c>
      <c r="H53" s="120" t="s">
        <v>14</v>
      </c>
      <c r="I53" s="121"/>
      <c r="J53" s="122">
        <v>0.3</v>
      </c>
      <c r="K53" s="123"/>
      <c r="L53" s="54">
        <f>+E47*J53</f>
        <v>4.9293684000000004</v>
      </c>
      <c r="M53" s="131">
        <f>+L53+L54</f>
        <v>15.883520399999998</v>
      </c>
      <c r="N53" s="133">
        <f>+E48-M53</f>
        <v>137.47460759999996</v>
      </c>
      <c r="O53" s="134"/>
    </row>
    <row r="54" spans="1:15" x14ac:dyDescent="0.25">
      <c r="B54" s="218" t="s">
        <v>53</v>
      </c>
      <c r="C54" s="15" t="s">
        <v>54</v>
      </c>
      <c r="D54" s="95" t="s">
        <v>171</v>
      </c>
      <c r="E54" s="119" t="s">
        <v>467</v>
      </c>
      <c r="F54" s="119"/>
      <c r="G54" s="96">
        <v>320</v>
      </c>
      <c r="H54" s="120" t="s">
        <v>153</v>
      </c>
      <c r="I54" s="121"/>
      <c r="J54" s="122">
        <v>0.08</v>
      </c>
      <c r="K54" s="123"/>
      <c r="L54" s="54">
        <f>(E45+E44-E46)*J54</f>
        <v>10.954151999999999</v>
      </c>
      <c r="M54" s="132"/>
      <c r="N54" s="135"/>
      <c r="O54" s="136"/>
    </row>
    <row r="55" spans="1:15" x14ac:dyDescent="0.25">
      <c r="B55" s="218" t="s">
        <v>461</v>
      </c>
      <c r="C55" s="219">
        <v>1123134181</v>
      </c>
    </row>
    <row r="56" spans="1:15" x14ac:dyDescent="0.25">
      <c r="B56" s="2" t="s">
        <v>55</v>
      </c>
      <c r="C56" s="3" t="str">
        <f>+CONCATENATE(C45,"-",C46,"-",C47)</f>
        <v>001-001-101</v>
      </c>
    </row>
    <row r="57" spans="1:15" x14ac:dyDescent="0.25">
      <c r="B57" s="2" t="s">
        <v>57</v>
      </c>
      <c r="C57" s="21">
        <f>+C44</f>
        <v>43513</v>
      </c>
      <c r="D57" s="22"/>
      <c r="E57" s="28" t="s">
        <v>279</v>
      </c>
      <c r="F57" s="23"/>
      <c r="G57" s="23"/>
      <c r="H57" s="23"/>
      <c r="I57" s="23"/>
      <c r="J57" s="24"/>
      <c r="K57" s="24"/>
      <c r="L57" s="25"/>
      <c r="M57" s="26"/>
      <c r="N57" s="22"/>
      <c r="O57" s="22"/>
    </row>
    <row r="58" spans="1:15" x14ac:dyDescent="0.25">
      <c r="B58" s="2" t="s">
        <v>86</v>
      </c>
      <c r="C58" s="21" t="s">
        <v>87</v>
      </c>
      <c r="D58" s="22"/>
      <c r="E58" s="28" t="s">
        <v>330</v>
      </c>
      <c r="F58" s="23"/>
      <c r="G58" s="23"/>
      <c r="H58" s="23"/>
      <c r="I58" s="23"/>
      <c r="J58" s="24"/>
      <c r="K58" s="24"/>
      <c r="L58" s="25"/>
      <c r="M58" s="26"/>
      <c r="N58" s="22"/>
      <c r="O58" s="22"/>
    </row>
    <row r="59" spans="1:15" x14ac:dyDescent="0.25">
      <c r="B59" s="2" t="s">
        <v>59</v>
      </c>
      <c r="C59" s="21" t="s">
        <v>88</v>
      </c>
      <c r="D59" s="22"/>
      <c r="E59" s="23"/>
      <c r="F59" s="23"/>
      <c r="G59" s="23"/>
      <c r="H59" s="23"/>
      <c r="I59" s="23"/>
      <c r="J59" s="24"/>
      <c r="K59" s="24"/>
      <c r="L59" s="25"/>
      <c r="M59" s="26"/>
      <c r="N59" s="22"/>
      <c r="O59" s="22"/>
    </row>
    <row r="60" spans="1:15" x14ac:dyDescent="0.25">
      <c r="B60" s="2" t="s">
        <v>60</v>
      </c>
      <c r="C60" s="21" t="s">
        <v>89</v>
      </c>
      <c r="D60" s="22"/>
      <c r="E60" s="28"/>
      <c r="G60" s="23"/>
      <c r="H60" s="23"/>
      <c r="I60" s="24"/>
      <c r="J60" s="24"/>
      <c r="K60" s="25"/>
      <c r="L60" s="26"/>
      <c r="M60" s="22"/>
      <c r="N60" s="22"/>
    </row>
    <row r="61" spans="1:15" x14ac:dyDescent="0.25">
      <c r="B61" s="2" t="s">
        <v>61</v>
      </c>
      <c r="C61" s="27">
        <f>+E48-M53</f>
        <v>137.47460759999996</v>
      </c>
    </row>
    <row r="62" spans="1:15" x14ac:dyDescent="0.25">
      <c r="B62" s="2" t="s">
        <v>343</v>
      </c>
      <c r="C62" s="27" t="s">
        <v>345</v>
      </c>
    </row>
    <row r="64" spans="1:15" ht="26.25" x14ac:dyDescent="0.4">
      <c r="A64" s="34" t="s">
        <v>3</v>
      </c>
      <c r="B64" s="34" t="s">
        <v>94</v>
      </c>
      <c r="C64" s="1" t="s">
        <v>401</v>
      </c>
    </row>
    <row r="65" spans="2:20" x14ac:dyDescent="0.25">
      <c r="B65" s="112" t="s">
        <v>398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</row>
    <row r="66" spans="2:20" x14ac:dyDescent="0.25">
      <c r="B66" s="206" t="s">
        <v>385</v>
      </c>
      <c r="C66" s="3" t="s">
        <v>391</v>
      </c>
      <c r="D66" s="100" t="s">
        <v>8</v>
      </c>
      <c r="E66" s="5" t="s">
        <v>9</v>
      </c>
      <c r="F66" s="5" t="s">
        <v>14</v>
      </c>
      <c r="G66" s="5" t="s">
        <v>10</v>
      </c>
      <c r="H66" s="5" t="s">
        <v>11</v>
      </c>
      <c r="I66" s="5" t="s">
        <v>148</v>
      </c>
      <c r="J66" s="5" t="s">
        <v>149</v>
      </c>
      <c r="K66" s="5" t="s">
        <v>12</v>
      </c>
      <c r="L66" s="5" t="s">
        <v>13</v>
      </c>
      <c r="M66" s="5" t="s">
        <v>40</v>
      </c>
      <c r="N66" s="5" t="s">
        <v>14</v>
      </c>
      <c r="O66" s="5" t="s">
        <v>15</v>
      </c>
      <c r="P66" s="5" t="s">
        <v>16</v>
      </c>
      <c r="Q66" s="5" t="s">
        <v>17</v>
      </c>
      <c r="R66" s="5" t="s">
        <v>18</v>
      </c>
      <c r="S66" s="5" t="s">
        <v>459</v>
      </c>
      <c r="T66" s="5" t="s">
        <v>460</v>
      </c>
    </row>
    <row r="67" spans="2:20" x14ac:dyDescent="0.25">
      <c r="B67" s="206" t="s">
        <v>386</v>
      </c>
      <c r="C67" s="3" t="s">
        <v>392</v>
      </c>
      <c r="D67" s="95">
        <v>60</v>
      </c>
      <c r="E67" s="95" t="s">
        <v>41</v>
      </c>
      <c r="F67" s="43">
        <v>0.12</v>
      </c>
      <c r="G67" s="7" t="s">
        <v>104</v>
      </c>
      <c r="H67" s="51">
        <v>1.96</v>
      </c>
      <c r="I67" s="51">
        <f>+IF(F67=0%,D67*H67,0)</f>
        <v>0</v>
      </c>
      <c r="J67" s="51">
        <f>+IF(F67=12%,D67*H67,0)</f>
        <v>117.6</v>
      </c>
      <c r="K67" s="52">
        <v>0</v>
      </c>
      <c r="L67" s="53">
        <v>0</v>
      </c>
      <c r="M67" s="53">
        <f>+J67*K67</f>
        <v>0</v>
      </c>
      <c r="N67" s="53">
        <f>+(J67-M67)*F67</f>
        <v>14.111999999999998</v>
      </c>
      <c r="O67" s="53">
        <f>+J67-M67+N67</f>
        <v>131.71199999999999</v>
      </c>
      <c r="P67" s="7" t="s">
        <v>45</v>
      </c>
      <c r="Q67" s="7" t="s">
        <v>46</v>
      </c>
      <c r="R67" s="7" t="s">
        <v>45</v>
      </c>
      <c r="S67" s="7">
        <v>1.4500000000000004</v>
      </c>
      <c r="T67" s="7">
        <v>21.750000000000007</v>
      </c>
    </row>
    <row r="68" spans="2:20" x14ac:dyDescent="0.25">
      <c r="B68" s="206" t="s">
        <v>387</v>
      </c>
      <c r="C68" s="3" t="s">
        <v>393</v>
      </c>
      <c r="D68" s="95">
        <v>32.770000000000003</v>
      </c>
      <c r="E68" s="95" t="s">
        <v>42</v>
      </c>
      <c r="F68" s="43">
        <v>0.12</v>
      </c>
      <c r="G68" s="7" t="s">
        <v>106</v>
      </c>
      <c r="H68" s="51">
        <v>4</v>
      </c>
      <c r="I68" s="51">
        <f>+IF(F68=0%,D68*H68,0)</f>
        <v>0</v>
      </c>
      <c r="J68" s="51">
        <f>+IF(F68=12%,D68*H68,0)</f>
        <v>131.08000000000001</v>
      </c>
      <c r="K68" s="52">
        <v>0</v>
      </c>
      <c r="L68" s="53">
        <v>0</v>
      </c>
      <c r="M68" s="53">
        <f>+J68*K68</f>
        <v>0</v>
      </c>
      <c r="N68" s="53">
        <f>+(J68-M68)*F68</f>
        <v>15.729600000000001</v>
      </c>
      <c r="O68" s="53">
        <f>+J68-M68+N68</f>
        <v>146.80960000000002</v>
      </c>
      <c r="P68" s="7" t="s">
        <v>45</v>
      </c>
      <c r="Q68" s="95" t="s">
        <v>46</v>
      </c>
      <c r="R68" s="7" t="s">
        <v>45</v>
      </c>
      <c r="S68" s="7">
        <v>2.9599999999999991</v>
      </c>
      <c r="T68" s="7">
        <v>36.615199999999987</v>
      </c>
    </row>
    <row r="69" spans="2:20" ht="30" x14ac:dyDescent="0.25">
      <c r="B69" s="206" t="s">
        <v>388</v>
      </c>
      <c r="C69" s="8" t="s">
        <v>394</v>
      </c>
      <c r="D69" s="97">
        <v>12</v>
      </c>
      <c r="E69" s="95" t="s">
        <v>43</v>
      </c>
      <c r="F69" s="43">
        <v>0.12</v>
      </c>
      <c r="G69" s="7" t="s">
        <v>108</v>
      </c>
      <c r="H69" s="51">
        <v>4.3899999999999997</v>
      </c>
      <c r="I69" s="51">
        <f>+IF(F69=0%,D69*H69,0)</f>
        <v>0</v>
      </c>
      <c r="J69" s="51">
        <f>+IF(F69=12%,D69*H69,0)</f>
        <v>52.679999999999993</v>
      </c>
      <c r="K69" s="52">
        <v>0</v>
      </c>
      <c r="L69" s="53">
        <v>0</v>
      </c>
      <c r="M69" s="53">
        <f>+J69*K69</f>
        <v>0</v>
      </c>
      <c r="N69" s="53">
        <f>+(J69-M69)*F69</f>
        <v>6.3215999999999992</v>
      </c>
      <c r="O69" s="53">
        <f>+J69-M69+N69</f>
        <v>59.001599999999989</v>
      </c>
      <c r="P69" s="7" t="s">
        <v>45</v>
      </c>
      <c r="Q69" s="95" t="s">
        <v>46</v>
      </c>
      <c r="R69" s="7" t="s">
        <v>45</v>
      </c>
      <c r="S69" s="7">
        <v>3.2499999999999991</v>
      </c>
      <c r="T69" s="7">
        <v>72.994999999999976</v>
      </c>
    </row>
    <row r="70" spans="2:20" x14ac:dyDescent="0.25">
      <c r="B70" s="206" t="s">
        <v>29</v>
      </c>
      <c r="C70" s="3">
        <v>18</v>
      </c>
      <c r="D70" s="97">
        <v>10.99</v>
      </c>
      <c r="E70" s="95" t="s">
        <v>44</v>
      </c>
      <c r="F70" s="43">
        <v>0.12</v>
      </c>
      <c r="G70" s="7" t="s">
        <v>110</v>
      </c>
      <c r="H70" s="51">
        <v>1.69</v>
      </c>
      <c r="I70" s="51">
        <f>+IF(F70=0%,D70*H70,0)</f>
        <v>0</v>
      </c>
      <c r="J70" s="51">
        <f>+IF(F70=12%,D70*H70,0)</f>
        <v>18.5731</v>
      </c>
      <c r="K70" s="52">
        <v>0</v>
      </c>
      <c r="L70" s="53">
        <v>0</v>
      </c>
      <c r="M70" s="53">
        <f>+J70*K70</f>
        <v>0</v>
      </c>
      <c r="N70" s="53">
        <f>+(J70-M70)*F70</f>
        <v>2.2287719999999998</v>
      </c>
      <c r="O70" s="53">
        <f>+J70-M70+N70</f>
        <v>20.801871999999999</v>
      </c>
      <c r="P70" s="7" t="s">
        <v>45</v>
      </c>
      <c r="Q70" s="95" t="s">
        <v>46</v>
      </c>
      <c r="R70" s="7" t="s">
        <v>45</v>
      </c>
      <c r="S70" s="7">
        <v>1.25</v>
      </c>
      <c r="T70" s="7">
        <v>10.8375</v>
      </c>
    </row>
    <row r="71" spans="2:20" x14ac:dyDescent="0.25">
      <c r="B71" s="206" t="s">
        <v>389</v>
      </c>
      <c r="C71" s="3" t="s">
        <v>395</v>
      </c>
      <c r="D71" s="97"/>
      <c r="E71" s="95"/>
      <c r="F71" s="95"/>
      <c r="G71" s="95"/>
      <c r="H71" s="10"/>
      <c r="I71" s="10"/>
      <c r="J71" s="10"/>
      <c r="K71" s="10"/>
      <c r="L71" s="95"/>
      <c r="M71" s="10"/>
      <c r="N71" s="10"/>
      <c r="O71" s="11"/>
      <c r="P71" s="7"/>
      <c r="Q71" s="95"/>
      <c r="R71" s="7"/>
      <c r="S71" s="7"/>
      <c r="T71" s="7"/>
    </row>
    <row r="72" spans="2:20" ht="15.75" thickBot="1" x14ac:dyDescent="0.3">
      <c r="B72" s="206" t="s">
        <v>390</v>
      </c>
      <c r="C72" s="3" t="s">
        <v>396</v>
      </c>
      <c r="D72" s="97"/>
      <c r="E72" s="95"/>
      <c r="F72" s="95"/>
      <c r="G72" s="95"/>
      <c r="H72" s="10"/>
      <c r="I72" s="10"/>
      <c r="J72" s="10"/>
      <c r="K72" s="10"/>
      <c r="L72" s="95"/>
      <c r="M72" s="10"/>
      <c r="N72" s="10"/>
      <c r="O72" s="11"/>
      <c r="P72" s="95"/>
      <c r="Q72" s="95"/>
      <c r="R72" s="7"/>
      <c r="S72" s="7"/>
      <c r="T72" s="7">
        <v>142.19769999999997</v>
      </c>
    </row>
    <row r="73" spans="2:20" ht="15.75" thickBot="1" x14ac:dyDescent="0.3">
      <c r="B73" s="206" t="s">
        <v>31</v>
      </c>
      <c r="C73" s="21">
        <v>43513</v>
      </c>
      <c r="D73" s="16" t="s">
        <v>34</v>
      </c>
      <c r="E73" s="40">
        <f>+SUM(I67:I70)</f>
        <v>0</v>
      </c>
    </row>
    <row r="74" spans="2:20" ht="15.75" thickBot="1" x14ac:dyDescent="0.3">
      <c r="B74" s="206" t="s">
        <v>32</v>
      </c>
      <c r="C74" s="3" t="s">
        <v>33</v>
      </c>
      <c r="D74" s="16" t="s">
        <v>36</v>
      </c>
      <c r="E74" s="17">
        <f>+SUM(J67:J72)</f>
        <v>319.93310000000002</v>
      </c>
    </row>
    <row r="75" spans="2:20" ht="15.75" thickBot="1" x14ac:dyDescent="0.3">
      <c r="B75" s="206" t="s">
        <v>35</v>
      </c>
      <c r="C75" s="3" t="s">
        <v>33</v>
      </c>
      <c r="D75" s="16" t="s">
        <v>39</v>
      </c>
      <c r="E75" s="17">
        <f>SUM(M67:M72)</f>
        <v>0</v>
      </c>
    </row>
    <row r="76" spans="2:20" ht="15.75" thickBot="1" x14ac:dyDescent="0.3">
      <c r="B76" s="206" t="s">
        <v>37</v>
      </c>
      <c r="C76" s="3">
        <v>102</v>
      </c>
      <c r="D76" s="16" t="s">
        <v>14</v>
      </c>
      <c r="E76" s="17">
        <f>SUM(N67:N72)</f>
        <v>38.391971999999996</v>
      </c>
    </row>
    <row r="77" spans="2:20" ht="15.75" thickBot="1" x14ac:dyDescent="0.3">
      <c r="B77" s="2"/>
      <c r="C77" s="15"/>
      <c r="D77" s="16" t="s">
        <v>15</v>
      </c>
      <c r="E77" s="17">
        <f>SUM(O67:O72)</f>
        <v>358.32507200000003</v>
      </c>
    </row>
    <row r="78" spans="2:20" x14ac:dyDescent="0.25">
      <c r="B78" s="18"/>
      <c r="C78" s="18"/>
    </row>
    <row r="80" spans="2:20" x14ac:dyDescent="0.25">
      <c r="B80" s="114" t="s">
        <v>399</v>
      </c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</row>
    <row r="81" spans="1:18" x14ac:dyDescent="0.25">
      <c r="B81" s="2" t="s">
        <v>48</v>
      </c>
      <c r="C81" s="15" t="s">
        <v>33</v>
      </c>
      <c r="D81" s="19" t="s">
        <v>16</v>
      </c>
      <c r="E81" s="115" t="s">
        <v>152</v>
      </c>
      <c r="F81" s="116"/>
      <c r="G81" s="99" t="s">
        <v>150</v>
      </c>
      <c r="H81" s="117" t="s">
        <v>49</v>
      </c>
      <c r="I81" s="118"/>
      <c r="J81" s="117" t="s">
        <v>151</v>
      </c>
      <c r="K81" s="118"/>
      <c r="L81" s="5" t="s">
        <v>50</v>
      </c>
      <c r="M81" s="5" t="s">
        <v>51</v>
      </c>
      <c r="N81" s="117" t="s">
        <v>155</v>
      </c>
      <c r="O81" s="118"/>
    </row>
    <row r="82" spans="1:18" x14ac:dyDescent="0.25">
      <c r="B82" s="218" t="s">
        <v>52</v>
      </c>
      <c r="C82" s="15" t="s">
        <v>33</v>
      </c>
      <c r="D82" s="95" t="s">
        <v>179</v>
      </c>
      <c r="E82" s="119" t="s">
        <v>469</v>
      </c>
      <c r="F82" s="119"/>
      <c r="G82" s="96">
        <v>727</v>
      </c>
      <c r="H82" s="120" t="s">
        <v>14</v>
      </c>
      <c r="I82" s="121"/>
      <c r="J82" s="122">
        <v>0.5</v>
      </c>
      <c r="K82" s="123"/>
      <c r="L82" s="20">
        <f>+E76*J82</f>
        <v>19.195985999999998</v>
      </c>
      <c r="M82" s="124">
        <f>+L82+L83</f>
        <v>25.594647999999999</v>
      </c>
      <c r="N82" s="126">
        <f>+E77-M82</f>
        <v>332.73042400000003</v>
      </c>
      <c r="O82" s="127"/>
    </row>
    <row r="83" spans="1:18" x14ac:dyDescent="0.25">
      <c r="B83" s="218" t="s">
        <v>53</v>
      </c>
      <c r="C83" s="15" t="s">
        <v>163</v>
      </c>
      <c r="D83" s="95" t="s">
        <v>175</v>
      </c>
      <c r="E83" s="119" t="s">
        <v>468</v>
      </c>
      <c r="F83" s="119"/>
      <c r="G83" s="96">
        <v>344</v>
      </c>
      <c r="H83" s="120" t="s">
        <v>153</v>
      </c>
      <c r="I83" s="121"/>
      <c r="J83" s="122">
        <v>0.02</v>
      </c>
      <c r="K83" s="123"/>
      <c r="L83" s="20">
        <f>(E74+E73-E75)*J83</f>
        <v>6.3986620000000007</v>
      </c>
      <c r="M83" s="125"/>
      <c r="N83" s="128"/>
      <c r="O83" s="129"/>
    </row>
    <row r="84" spans="1:18" x14ac:dyDescent="0.25">
      <c r="B84" s="218" t="s">
        <v>461</v>
      </c>
      <c r="C84" s="219">
        <v>1123134181</v>
      </c>
    </row>
    <row r="85" spans="1:18" x14ac:dyDescent="0.25">
      <c r="B85" s="2" t="s">
        <v>55</v>
      </c>
      <c r="C85" s="3" t="str">
        <f>+CONCATENATE(C74,"-",C75,"-",C76)</f>
        <v>001-001-102</v>
      </c>
    </row>
    <row r="86" spans="1:18" x14ac:dyDescent="0.25">
      <c r="B86" s="2" t="s">
        <v>57</v>
      </c>
      <c r="C86" s="21">
        <f>+C73</f>
        <v>43513</v>
      </c>
      <c r="E86" s="28" t="s">
        <v>279</v>
      </c>
    </row>
    <row r="87" spans="1:18" x14ac:dyDescent="0.25">
      <c r="B87" s="2" t="s">
        <v>86</v>
      </c>
      <c r="C87" s="21" t="s">
        <v>87</v>
      </c>
      <c r="E87" s="109" t="s">
        <v>330</v>
      </c>
    </row>
    <row r="88" spans="1:18" x14ac:dyDescent="0.25">
      <c r="B88" s="2" t="s">
        <v>59</v>
      </c>
      <c r="C88" s="21" t="s">
        <v>90</v>
      </c>
    </row>
    <row r="89" spans="1:18" x14ac:dyDescent="0.25">
      <c r="B89" s="2" t="s">
        <v>60</v>
      </c>
      <c r="C89" s="21" t="s">
        <v>91</v>
      </c>
    </row>
    <row r="90" spans="1:18" x14ac:dyDescent="0.25">
      <c r="B90" s="2" t="s">
        <v>61</v>
      </c>
      <c r="C90" s="27">
        <f>+E77-M82</f>
        <v>332.73042400000003</v>
      </c>
    </row>
    <row r="91" spans="1:18" x14ac:dyDescent="0.25">
      <c r="B91" s="2" t="s">
        <v>343</v>
      </c>
      <c r="C91" s="27" t="s">
        <v>345</v>
      </c>
    </row>
    <row r="93" spans="1:18" ht="26.25" x14ac:dyDescent="0.4">
      <c r="A93" s="34" t="s">
        <v>3</v>
      </c>
      <c r="B93" s="34" t="s">
        <v>140</v>
      </c>
      <c r="C93" s="1" t="s">
        <v>402</v>
      </c>
    </row>
    <row r="94" spans="1:18" x14ac:dyDescent="0.25">
      <c r="B94" s="112" t="s">
        <v>398</v>
      </c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</row>
    <row r="95" spans="1:18" x14ac:dyDescent="0.25">
      <c r="B95" s="2" t="s">
        <v>6</v>
      </c>
      <c r="C95" s="3" t="s">
        <v>67</v>
      </c>
      <c r="D95" s="100" t="s">
        <v>8</v>
      </c>
      <c r="E95" s="5" t="s">
        <v>9</v>
      </c>
      <c r="F95" s="5" t="s">
        <v>14</v>
      </c>
      <c r="G95" s="5" t="s">
        <v>10</v>
      </c>
      <c r="H95" s="5" t="s">
        <v>11</v>
      </c>
      <c r="I95" s="5" t="s">
        <v>148</v>
      </c>
      <c r="J95" s="5" t="s">
        <v>149</v>
      </c>
      <c r="K95" s="5" t="s">
        <v>12</v>
      </c>
      <c r="L95" s="5" t="s">
        <v>13</v>
      </c>
      <c r="M95" s="5" t="s">
        <v>40</v>
      </c>
      <c r="N95" s="5" t="s">
        <v>14</v>
      </c>
      <c r="O95" s="5" t="s">
        <v>15</v>
      </c>
      <c r="P95" s="5" t="s">
        <v>16</v>
      </c>
      <c r="Q95" s="5" t="s">
        <v>17</v>
      </c>
      <c r="R95" s="5" t="s">
        <v>18</v>
      </c>
    </row>
    <row r="96" spans="1:18" x14ac:dyDescent="0.25">
      <c r="B96" s="2" t="s">
        <v>19</v>
      </c>
      <c r="C96" s="15" t="s">
        <v>68</v>
      </c>
      <c r="D96" s="7">
        <v>118.47</v>
      </c>
      <c r="E96" s="95" t="s">
        <v>95</v>
      </c>
      <c r="F96" s="43">
        <v>0.12</v>
      </c>
      <c r="G96" s="35" t="s">
        <v>99</v>
      </c>
      <c r="H96" s="51">
        <v>1.47</v>
      </c>
      <c r="I96" s="51">
        <f>+IF(F96=0%,D96*H96,0)</f>
        <v>0</v>
      </c>
      <c r="J96" s="51">
        <f>+IF(F96=12%,D96*H96,0)</f>
        <v>174.15090000000001</v>
      </c>
      <c r="K96" s="52">
        <v>0</v>
      </c>
      <c r="L96" s="53">
        <v>0</v>
      </c>
      <c r="M96" s="53">
        <f>+J96*K96</f>
        <v>0</v>
      </c>
      <c r="N96" s="53">
        <f>+(J96-M96)*F96</f>
        <v>20.898108000000001</v>
      </c>
      <c r="O96" s="53">
        <f>+J96-M96+N96</f>
        <v>195.04900800000001</v>
      </c>
      <c r="P96" s="7" t="s">
        <v>45</v>
      </c>
      <c r="Q96" s="7" t="s">
        <v>46</v>
      </c>
      <c r="R96" s="7" t="s">
        <v>45</v>
      </c>
    </row>
    <row r="97" spans="2:18" x14ac:dyDescent="0.25">
      <c r="B97" s="2" t="s">
        <v>21</v>
      </c>
      <c r="C97" s="15" t="s">
        <v>22</v>
      </c>
      <c r="D97" s="7">
        <v>249.58</v>
      </c>
      <c r="E97" s="95" t="s">
        <v>96</v>
      </c>
      <c r="F97" s="43">
        <v>0.12</v>
      </c>
      <c r="G97" s="35" t="s">
        <v>100</v>
      </c>
      <c r="H97" s="51">
        <v>2.96</v>
      </c>
      <c r="I97" s="51">
        <f>+IF(F97=0%,D97*H97,0)</f>
        <v>0</v>
      </c>
      <c r="J97" s="51">
        <f>+IF(F97=12%,D97*H97,0)</f>
        <v>738.7568</v>
      </c>
      <c r="K97" s="52">
        <v>0</v>
      </c>
      <c r="L97" s="53">
        <v>0</v>
      </c>
      <c r="M97" s="53">
        <f>+J97*K97</f>
        <v>0</v>
      </c>
      <c r="N97" s="53">
        <f>+(J97-M97)*F97</f>
        <v>88.650815999999992</v>
      </c>
      <c r="O97" s="53">
        <f>+J97-M97+N97</f>
        <v>827.40761599999996</v>
      </c>
      <c r="P97" s="7" t="s">
        <v>45</v>
      </c>
      <c r="Q97" s="95" t="s">
        <v>46</v>
      </c>
      <c r="R97" s="7" t="s">
        <v>45</v>
      </c>
    </row>
    <row r="98" spans="2:18" ht="30" x14ac:dyDescent="0.25">
      <c r="B98" s="2" t="s">
        <v>23</v>
      </c>
      <c r="C98" s="30" t="s">
        <v>70</v>
      </c>
      <c r="D98" s="7">
        <v>73.540000000000006</v>
      </c>
      <c r="E98" s="95" t="s">
        <v>97</v>
      </c>
      <c r="F98" s="43">
        <v>0.12</v>
      </c>
      <c r="G98" s="35" t="s">
        <v>101</v>
      </c>
      <c r="H98" s="51">
        <v>3.15</v>
      </c>
      <c r="I98" s="51">
        <f>+IF(F98=0%,D98*H98,0)</f>
        <v>0</v>
      </c>
      <c r="J98" s="51">
        <f>+IF(F98=12%,D98*H98,0)</f>
        <v>231.65100000000001</v>
      </c>
      <c r="K98" s="52">
        <v>0</v>
      </c>
      <c r="L98" s="53">
        <v>0</v>
      </c>
      <c r="M98" s="53">
        <f>+J98*K98</f>
        <v>0</v>
      </c>
      <c r="N98" s="53">
        <f>+(J98-M98)*F98</f>
        <v>27.798120000000001</v>
      </c>
      <c r="O98" s="53">
        <f>+J98-M98+N98</f>
        <v>259.44911999999999</v>
      </c>
      <c r="P98" s="7" t="s">
        <v>45</v>
      </c>
      <c r="Q98" s="95" t="s">
        <v>46</v>
      </c>
      <c r="R98" s="7" t="s">
        <v>45</v>
      </c>
    </row>
    <row r="99" spans="2:18" x14ac:dyDescent="0.25">
      <c r="B99" s="2" t="s">
        <v>26</v>
      </c>
      <c r="C99" s="12" t="s">
        <v>71</v>
      </c>
      <c r="D99" s="7">
        <v>29</v>
      </c>
      <c r="E99" s="95" t="s">
        <v>98</v>
      </c>
      <c r="F99" s="43">
        <v>0.12</v>
      </c>
      <c r="G99" s="35" t="s">
        <v>102</v>
      </c>
      <c r="H99" s="51">
        <v>1.25</v>
      </c>
      <c r="I99" s="51">
        <f>+IF(F99=0%,D99*H99,0)</f>
        <v>0</v>
      </c>
      <c r="J99" s="51">
        <f>+IF(F99=12%,D99*H99,0)</f>
        <v>36.25</v>
      </c>
      <c r="K99" s="52">
        <v>0</v>
      </c>
      <c r="L99" s="53">
        <v>0</v>
      </c>
      <c r="M99" s="53">
        <f>+J99*K99</f>
        <v>0</v>
      </c>
      <c r="N99" s="53">
        <f>+(J99-M99)*F99</f>
        <v>4.3499999999999996</v>
      </c>
      <c r="O99" s="53">
        <f>+J99-M99+N99</f>
        <v>40.6</v>
      </c>
      <c r="P99" s="7" t="s">
        <v>45</v>
      </c>
      <c r="Q99" s="95" t="s">
        <v>46</v>
      </c>
      <c r="R99" s="7" t="s">
        <v>45</v>
      </c>
    </row>
    <row r="100" spans="2:18" x14ac:dyDescent="0.25">
      <c r="B100" s="2" t="s">
        <v>27</v>
      </c>
      <c r="C100" s="3" t="s">
        <v>28</v>
      </c>
      <c r="D100" s="97"/>
      <c r="E100" s="95"/>
      <c r="F100" s="95"/>
      <c r="G100" s="95"/>
      <c r="H100" s="10"/>
      <c r="I100" s="10"/>
      <c r="J100" s="10"/>
      <c r="K100" s="10"/>
      <c r="L100" s="95"/>
      <c r="M100" s="10"/>
      <c r="N100" s="10"/>
      <c r="O100" s="11"/>
      <c r="P100" s="7"/>
      <c r="Q100" s="95"/>
      <c r="R100" s="7"/>
    </row>
    <row r="101" spans="2:18" ht="15.75" thickBot="1" x14ac:dyDescent="0.3">
      <c r="B101" s="2" t="s">
        <v>29</v>
      </c>
      <c r="C101" s="3">
        <v>1</v>
      </c>
      <c r="D101" s="97"/>
      <c r="E101" s="95"/>
      <c r="F101" s="95"/>
      <c r="G101" s="95"/>
      <c r="H101" s="10"/>
      <c r="I101" s="10"/>
      <c r="J101" s="10"/>
      <c r="K101" s="10"/>
      <c r="L101" s="95"/>
      <c r="M101" s="10"/>
      <c r="N101" s="10"/>
      <c r="O101" s="11"/>
      <c r="P101" s="95"/>
      <c r="Q101" s="95"/>
      <c r="R101" s="7"/>
    </row>
    <row r="102" spans="2:18" ht="15.75" thickBot="1" x14ac:dyDescent="0.3">
      <c r="B102" s="2" t="s">
        <v>30</v>
      </c>
      <c r="C102" s="7">
        <v>1122728319</v>
      </c>
      <c r="D102" s="16" t="s">
        <v>34</v>
      </c>
      <c r="E102" s="40">
        <f>+SUM(I96:I99)</f>
        <v>0</v>
      </c>
    </row>
    <row r="103" spans="2:18" ht="15.75" thickBot="1" x14ac:dyDescent="0.3">
      <c r="B103" s="2" t="s">
        <v>31</v>
      </c>
      <c r="C103" s="21">
        <v>43513</v>
      </c>
      <c r="D103" s="16" t="s">
        <v>36</v>
      </c>
      <c r="E103" s="17">
        <f>+SUM(J96:J101)</f>
        <v>1180.8087</v>
      </c>
    </row>
    <row r="104" spans="2:18" ht="15.75" thickBot="1" x14ac:dyDescent="0.3">
      <c r="B104" s="2" t="s">
        <v>32</v>
      </c>
      <c r="C104" s="15" t="s">
        <v>33</v>
      </c>
      <c r="D104" s="16" t="s">
        <v>39</v>
      </c>
      <c r="E104" s="17">
        <f>SUM(M96:M101)</f>
        <v>0</v>
      </c>
    </row>
    <row r="105" spans="2:18" ht="15.75" thickBot="1" x14ac:dyDescent="0.3">
      <c r="B105" s="2" t="s">
        <v>35</v>
      </c>
      <c r="C105" s="15" t="s">
        <v>33</v>
      </c>
      <c r="D105" s="16" t="s">
        <v>14</v>
      </c>
      <c r="E105" s="17">
        <f>SUM(N96:N101)</f>
        <v>141.69704400000001</v>
      </c>
    </row>
    <row r="106" spans="2:18" ht="15.75" thickBot="1" x14ac:dyDescent="0.3">
      <c r="B106" s="2" t="s">
        <v>37</v>
      </c>
      <c r="C106" s="15" t="s">
        <v>159</v>
      </c>
      <c r="D106" s="16" t="s">
        <v>15</v>
      </c>
      <c r="E106" s="17">
        <f>SUM(O96:O101)</f>
        <v>1322.5057439999998</v>
      </c>
    </row>
    <row r="107" spans="2:18" x14ac:dyDescent="0.25">
      <c r="B107" s="18"/>
      <c r="C107" s="18"/>
    </row>
    <row r="108" spans="2:18" x14ac:dyDescent="0.25">
      <c r="B108" s="18"/>
      <c r="C108" s="18"/>
    </row>
    <row r="109" spans="2:18" x14ac:dyDescent="0.25">
      <c r="B109" s="114" t="s">
        <v>399</v>
      </c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</row>
    <row r="110" spans="2:18" x14ac:dyDescent="0.25">
      <c r="B110" s="2" t="s">
        <v>48</v>
      </c>
      <c r="C110" s="33" t="s">
        <v>33</v>
      </c>
      <c r="D110" s="19" t="s">
        <v>16</v>
      </c>
      <c r="E110" s="115" t="s">
        <v>152</v>
      </c>
      <c r="F110" s="116"/>
      <c r="G110" s="99" t="s">
        <v>150</v>
      </c>
      <c r="H110" s="117" t="s">
        <v>49</v>
      </c>
      <c r="I110" s="118"/>
      <c r="J110" s="117" t="s">
        <v>151</v>
      </c>
      <c r="K110" s="118"/>
      <c r="L110" s="5" t="s">
        <v>50</v>
      </c>
      <c r="M110" s="5" t="s">
        <v>51</v>
      </c>
      <c r="N110" s="117" t="s">
        <v>155</v>
      </c>
      <c r="O110" s="118"/>
    </row>
    <row r="111" spans="2:18" x14ac:dyDescent="0.25">
      <c r="B111" s="2" t="s">
        <v>52</v>
      </c>
      <c r="C111" s="15" t="s">
        <v>33</v>
      </c>
      <c r="D111" s="95" t="s">
        <v>173</v>
      </c>
      <c r="E111" s="119" t="s">
        <v>470</v>
      </c>
      <c r="F111" s="119"/>
      <c r="G111" s="96">
        <v>729</v>
      </c>
      <c r="H111" s="120" t="s">
        <v>14</v>
      </c>
      <c r="I111" s="121"/>
      <c r="J111" s="122">
        <v>0.7</v>
      </c>
      <c r="K111" s="123"/>
      <c r="L111" s="20">
        <f>+E105*J111</f>
        <v>99.187930800000004</v>
      </c>
      <c r="M111" s="124">
        <f>+L111+L112</f>
        <v>110.9960178</v>
      </c>
      <c r="N111" s="126">
        <f>+E106-M111</f>
        <v>1211.5097261999999</v>
      </c>
      <c r="O111" s="127"/>
    </row>
    <row r="112" spans="2:18" x14ac:dyDescent="0.25">
      <c r="B112" s="2" t="s">
        <v>53</v>
      </c>
      <c r="C112" s="7">
        <v>504</v>
      </c>
      <c r="D112" s="95" t="s">
        <v>165</v>
      </c>
      <c r="E112" s="119" t="s">
        <v>462</v>
      </c>
      <c r="F112" s="119"/>
      <c r="G112" s="96">
        <v>312</v>
      </c>
      <c r="H112" s="120" t="s">
        <v>153</v>
      </c>
      <c r="I112" s="121"/>
      <c r="J112" s="122">
        <v>0.01</v>
      </c>
      <c r="K112" s="123"/>
      <c r="L112" s="20">
        <f>(E103+E102-E104)*J112</f>
        <v>11.808087</v>
      </c>
      <c r="M112" s="125"/>
      <c r="N112" s="128"/>
      <c r="O112" s="129"/>
    </row>
    <row r="113" spans="1:18" x14ac:dyDescent="0.25">
      <c r="B113" s="2" t="s">
        <v>55</v>
      </c>
      <c r="C113" s="3" t="str">
        <f>+CONCATENATE(C104,"-",C105,"-",C106)</f>
        <v>001-001-103</v>
      </c>
    </row>
    <row r="114" spans="1:18" x14ac:dyDescent="0.25">
      <c r="B114" s="2" t="s">
        <v>57</v>
      </c>
      <c r="C114" s="21" t="str">
        <f>+C105</f>
        <v>001</v>
      </c>
    </row>
    <row r="115" spans="1:18" x14ac:dyDescent="0.25">
      <c r="B115" s="2" t="s">
        <v>86</v>
      </c>
      <c r="C115" s="21" t="s">
        <v>143</v>
      </c>
      <c r="E115" s="28" t="s">
        <v>279</v>
      </c>
    </row>
    <row r="116" spans="1:18" x14ac:dyDescent="0.25">
      <c r="B116" s="2" t="s">
        <v>58</v>
      </c>
      <c r="C116" s="21" t="s">
        <v>144</v>
      </c>
      <c r="E116" s="109" t="s">
        <v>330</v>
      </c>
    </row>
    <row r="117" spans="1:18" x14ac:dyDescent="0.25">
      <c r="B117" s="2" t="s">
        <v>60</v>
      </c>
      <c r="C117" s="21" t="s">
        <v>74</v>
      </c>
    </row>
    <row r="118" spans="1:18" x14ac:dyDescent="0.25">
      <c r="B118" s="2" t="s">
        <v>61</v>
      </c>
      <c r="C118" s="27">
        <f>+E106-M111</f>
        <v>1211.5097261999999</v>
      </c>
    </row>
    <row r="119" spans="1:18" x14ac:dyDescent="0.25">
      <c r="B119" s="2" t="s">
        <v>344</v>
      </c>
      <c r="C119" s="27" t="s">
        <v>345</v>
      </c>
    </row>
    <row r="121" spans="1:18" ht="26.25" x14ac:dyDescent="0.4">
      <c r="A121" s="34" t="s">
        <v>3</v>
      </c>
      <c r="B121" s="34" t="s">
        <v>142</v>
      </c>
      <c r="C121" s="1" t="s">
        <v>403</v>
      </c>
    </row>
    <row r="122" spans="1:18" x14ac:dyDescent="0.25">
      <c r="B122" s="112" t="s">
        <v>398</v>
      </c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</row>
    <row r="123" spans="1:18" x14ac:dyDescent="0.25">
      <c r="B123" s="2" t="s">
        <v>6</v>
      </c>
      <c r="C123" s="3" t="s">
        <v>67</v>
      </c>
      <c r="D123" s="100" t="s">
        <v>8</v>
      </c>
      <c r="E123" s="5" t="s">
        <v>9</v>
      </c>
      <c r="F123" s="5" t="s">
        <v>14</v>
      </c>
      <c r="G123" s="5" t="s">
        <v>10</v>
      </c>
      <c r="H123" s="5" t="s">
        <v>11</v>
      </c>
      <c r="I123" s="5" t="s">
        <v>148</v>
      </c>
      <c r="J123" s="5" t="s">
        <v>149</v>
      </c>
      <c r="K123" s="5" t="s">
        <v>12</v>
      </c>
      <c r="L123" s="5" t="s">
        <v>13</v>
      </c>
      <c r="M123" s="5" t="s">
        <v>40</v>
      </c>
      <c r="N123" s="5" t="s">
        <v>14</v>
      </c>
      <c r="O123" s="5" t="s">
        <v>15</v>
      </c>
      <c r="P123" s="5" t="s">
        <v>16</v>
      </c>
      <c r="Q123" s="5" t="s">
        <v>17</v>
      </c>
      <c r="R123" s="5" t="s">
        <v>18</v>
      </c>
    </row>
    <row r="124" spans="1:18" x14ac:dyDescent="0.25">
      <c r="B124" s="2" t="s">
        <v>19</v>
      </c>
      <c r="C124" s="15" t="s">
        <v>68</v>
      </c>
      <c r="D124" s="7">
        <v>118.47</v>
      </c>
      <c r="E124" s="95" t="s">
        <v>95</v>
      </c>
      <c r="F124" s="43">
        <v>0.12</v>
      </c>
      <c r="G124" s="35" t="s">
        <v>99</v>
      </c>
      <c r="H124" s="51">
        <v>1.47</v>
      </c>
      <c r="I124" s="51">
        <f>+IF(F124=0%,D124*H124,0)</f>
        <v>0</v>
      </c>
      <c r="J124" s="51">
        <f>+IF(F124=12%,D124*H124,0)</f>
        <v>174.15090000000001</v>
      </c>
      <c r="K124" s="52">
        <v>0</v>
      </c>
      <c r="L124" s="53">
        <v>0</v>
      </c>
      <c r="M124" s="53">
        <f>+J124*K124</f>
        <v>0</v>
      </c>
      <c r="N124" s="53">
        <f>+(J124-M124)*F124</f>
        <v>20.898108000000001</v>
      </c>
      <c r="O124" s="53">
        <f>+J124-M124+N124</f>
        <v>195.04900800000001</v>
      </c>
      <c r="P124" s="7" t="s">
        <v>45</v>
      </c>
      <c r="Q124" s="7" t="s">
        <v>46</v>
      </c>
      <c r="R124" s="7" t="s">
        <v>45</v>
      </c>
    </row>
    <row r="125" spans="1:18" x14ac:dyDescent="0.25">
      <c r="B125" s="2" t="s">
        <v>21</v>
      </c>
      <c r="C125" s="15" t="s">
        <v>22</v>
      </c>
      <c r="D125" s="7">
        <v>249.58</v>
      </c>
      <c r="E125" s="95" t="s">
        <v>96</v>
      </c>
      <c r="F125" s="43">
        <v>0.12</v>
      </c>
      <c r="G125" s="35" t="s">
        <v>100</v>
      </c>
      <c r="H125" s="51">
        <v>2.96</v>
      </c>
      <c r="I125" s="51">
        <f>+IF(F125=0%,D125*H125,0)</f>
        <v>0</v>
      </c>
      <c r="J125" s="51">
        <f>+IF(F125=12%,D125*H125,0)</f>
        <v>738.7568</v>
      </c>
      <c r="K125" s="52">
        <v>0</v>
      </c>
      <c r="L125" s="53">
        <v>0</v>
      </c>
      <c r="M125" s="53">
        <f>+J125*K125</f>
        <v>0</v>
      </c>
      <c r="N125" s="53">
        <f>+(J125-M125)*F125</f>
        <v>88.650815999999992</v>
      </c>
      <c r="O125" s="53">
        <f>+J125-M125+N125</f>
        <v>827.40761599999996</v>
      </c>
      <c r="P125" s="7" t="s">
        <v>45</v>
      </c>
      <c r="Q125" s="95" t="s">
        <v>46</v>
      </c>
      <c r="R125" s="7" t="s">
        <v>45</v>
      </c>
    </row>
    <row r="126" spans="1:18" ht="30" x14ac:dyDescent="0.25">
      <c r="B126" s="2" t="s">
        <v>23</v>
      </c>
      <c r="C126" s="30" t="s">
        <v>70</v>
      </c>
      <c r="D126" s="7">
        <v>73.540000000000006</v>
      </c>
      <c r="E126" s="95" t="s">
        <v>97</v>
      </c>
      <c r="F126" s="43">
        <v>0.12</v>
      </c>
      <c r="G126" s="35" t="s">
        <v>101</v>
      </c>
      <c r="H126" s="51">
        <v>3.15</v>
      </c>
      <c r="I126" s="51">
        <f>+IF(F126=0%,D126*H126,0)</f>
        <v>0</v>
      </c>
      <c r="J126" s="51">
        <f>+IF(F126=12%,D126*H126,0)</f>
        <v>231.65100000000001</v>
      </c>
      <c r="K126" s="52">
        <v>0</v>
      </c>
      <c r="L126" s="53">
        <v>0</v>
      </c>
      <c r="M126" s="53">
        <f>+J126*K126</f>
        <v>0</v>
      </c>
      <c r="N126" s="53">
        <f>+(J126-M126)*F126</f>
        <v>27.798120000000001</v>
      </c>
      <c r="O126" s="53">
        <f>+J126-M126+N126</f>
        <v>259.44911999999999</v>
      </c>
      <c r="P126" s="7" t="s">
        <v>45</v>
      </c>
      <c r="Q126" s="95" t="s">
        <v>46</v>
      </c>
      <c r="R126" s="7" t="s">
        <v>45</v>
      </c>
    </row>
    <row r="127" spans="1:18" x14ac:dyDescent="0.25">
      <c r="B127" s="2" t="s">
        <v>26</v>
      </c>
      <c r="C127" s="12" t="s">
        <v>71</v>
      </c>
      <c r="D127" s="7">
        <v>29</v>
      </c>
      <c r="E127" s="95" t="s">
        <v>98</v>
      </c>
      <c r="F127" s="43">
        <v>0.12</v>
      </c>
      <c r="G127" s="35" t="s">
        <v>102</v>
      </c>
      <c r="H127" s="51">
        <v>1.25</v>
      </c>
      <c r="I127" s="51">
        <f>+IF(F127=0%,D127*H127,0)</f>
        <v>0</v>
      </c>
      <c r="J127" s="51">
        <f>+IF(F127=12%,D127*H127,0)</f>
        <v>36.25</v>
      </c>
      <c r="K127" s="52">
        <v>0</v>
      </c>
      <c r="L127" s="53">
        <v>0</v>
      </c>
      <c r="M127" s="53">
        <f>+J127*K127</f>
        <v>0</v>
      </c>
      <c r="N127" s="53">
        <f>+(J127-M127)*F127</f>
        <v>4.3499999999999996</v>
      </c>
      <c r="O127" s="53">
        <f>+J127-M127+N127</f>
        <v>40.6</v>
      </c>
      <c r="P127" s="7" t="s">
        <v>45</v>
      </c>
      <c r="Q127" s="95" t="s">
        <v>46</v>
      </c>
      <c r="R127" s="7" t="s">
        <v>45</v>
      </c>
    </row>
    <row r="128" spans="1:18" x14ac:dyDescent="0.25">
      <c r="B128" s="2" t="s">
        <v>27</v>
      </c>
      <c r="C128" s="3" t="s">
        <v>28</v>
      </c>
      <c r="D128" s="97"/>
      <c r="E128" s="95"/>
      <c r="F128" s="95"/>
      <c r="G128" s="95"/>
      <c r="H128" s="10"/>
      <c r="I128" s="10"/>
      <c r="J128" s="10"/>
      <c r="K128" s="10"/>
      <c r="L128" s="95"/>
      <c r="M128" s="10"/>
      <c r="N128" s="10"/>
      <c r="O128" s="11"/>
      <c r="P128" s="7"/>
      <c r="Q128" s="95"/>
      <c r="R128" s="7"/>
    </row>
    <row r="129" spans="2:18" ht="15.75" thickBot="1" x14ac:dyDescent="0.3">
      <c r="B129" s="2" t="s">
        <v>29</v>
      </c>
      <c r="C129" s="3">
        <v>1</v>
      </c>
      <c r="D129" s="97"/>
      <c r="E129" s="95"/>
      <c r="F129" s="95"/>
      <c r="G129" s="95"/>
      <c r="H129" s="10"/>
      <c r="I129" s="10"/>
      <c r="J129" s="10"/>
      <c r="K129" s="10"/>
      <c r="L129" s="95"/>
      <c r="M129" s="10"/>
      <c r="N129" s="10"/>
      <c r="O129" s="11"/>
      <c r="P129" s="95"/>
      <c r="Q129" s="95"/>
      <c r="R129" s="7"/>
    </row>
    <row r="130" spans="2:18" ht="15.75" thickBot="1" x14ac:dyDescent="0.3">
      <c r="B130" s="2" t="s">
        <v>30</v>
      </c>
      <c r="C130" s="7">
        <v>1122728319</v>
      </c>
      <c r="D130" s="16" t="s">
        <v>34</v>
      </c>
      <c r="E130" s="40">
        <f>+SUM(I124:I127)</f>
        <v>0</v>
      </c>
    </row>
    <row r="131" spans="2:18" ht="15.75" thickBot="1" x14ac:dyDescent="0.3">
      <c r="B131" s="2" t="s">
        <v>31</v>
      </c>
      <c r="C131" s="21">
        <v>43513</v>
      </c>
      <c r="D131" s="16" t="s">
        <v>36</v>
      </c>
      <c r="E131" s="17">
        <f>+SUM(J124:J129)</f>
        <v>1180.8087</v>
      </c>
    </row>
    <row r="132" spans="2:18" ht="15.75" thickBot="1" x14ac:dyDescent="0.3">
      <c r="B132" s="2" t="s">
        <v>32</v>
      </c>
      <c r="C132" s="15" t="s">
        <v>33</v>
      </c>
      <c r="D132" s="16" t="s">
        <v>39</v>
      </c>
      <c r="E132" s="17">
        <f>SUM(M124:M129)</f>
        <v>0</v>
      </c>
    </row>
    <row r="133" spans="2:18" ht="15.75" thickBot="1" x14ac:dyDescent="0.3">
      <c r="B133" s="2" t="s">
        <v>35</v>
      </c>
      <c r="C133" s="15" t="s">
        <v>33</v>
      </c>
      <c r="D133" s="16" t="s">
        <v>14</v>
      </c>
      <c r="E133" s="17">
        <f>SUM(N124:N129)</f>
        <v>141.69704400000001</v>
      </c>
    </row>
    <row r="134" spans="2:18" ht="15.75" thickBot="1" x14ac:dyDescent="0.3">
      <c r="B134" s="2" t="s">
        <v>37</v>
      </c>
      <c r="C134" s="15" t="s">
        <v>160</v>
      </c>
      <c r="D134" s="16" t="s">
        <v>15</v>
      </c>
      <c r="E134" s="17">
        <f>SUM(O124:O129)</f>
        <v>1322.5057439999998</v>
      </c>
    </row>
    <row r="135" spans="2:18" x14ac:dyDescent="0.25">
      <c r="B135" s="18"/>
      <c r="C135" s="18"/>
    </row>
    <row r="137" spans="2:18" x14ac:dyDescent="0.25">
      <c r="B137" s="114" t="s">
        <v>399</v>
      </c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</row>
    <row r="138" spans="2:18" x14ac:dyDescent="0.25">
      <c r="B138" s="2" t="s">
        <v>48</v>
      </c>
      <c r="C138" s="33" t="s">
        <v>33</v>
      </c>
      <c r="D138" s="19" t="s">
        <v>16</v>
      </c>
      <c r="E138" s="115" t="s">
        <v>152</v>
      </c>
      <c r="F138" s="116"/>
      <c r="G138" s="99" t="s">
        <v>150</v>
      </c>
      <c r="H138" s="117" t="s">
        <v>49</v>
      </c>
      <c r="I138" s="118"/>
      <c r="J138" s="117" t="s">
        <v>151</v>
      </c>
      <c r="K138" s="118"/>
      <c r="L138" s="5" t="s">
        <v>50</v>
      </c>
      <c r="M138" s="5" t="s">
        <v>51</v>
      </c>
      <c r="N138" s="117" t="s">
        <v>155</v>
      </c>
      <c r="O138" s="118"/>
    </row>
    <row r="139" spans="2:18" x14ac:dyDescent="0.25">
      <c r="B139" s="2" t="s">
        <v>52</v>
      </c>
      <c r="C139" s="15" t="s">
        <v>33</v>
      </c>
      <c r="D139" s="95" t="s">
        <v>177</v>
      </c>
      <c r="E139" s="119" t="s">
        <v>471</v>
      </c>
      <c r="F139" s="119"/>
      <c r="G139" s="96">
        <v>712</v>
      </c>
      <c r="H139" s="120" t="s">
        <v>14</v>
      </c>
      <c r="I139" s="121"/>
      <c r="J139" s="122">
        <v>0.1</v>
      </c>
      <c r="K139" s="123"/>
      <c r="L139" s="20">
        <f>+E133*J139</f>
        <v>14.169704400000001</v>
      </c>
      <c r="M139" s="124">
        <f>+L139+L140</f>
        <v>108.6344004</v>
      </c>
      <c r="N139" s="126">
        <f>+E134-M139</f>
        <v>1213.8713435999998</v>
      </c>
      <c r="O139" s="127"/>
    </row>
    <row r="140" spans="2:18" x14ac:dyDescent="0.25">
      <c r="B140" s="2" t="s">
        <v>53</v>
      </c>
      <c r="C140" s="7">
        <v>505</v>
      </c>
      <c r="D140" s="95" t="s">
        <v>171</v>
      </c>
      <c r="E140" s="119" t="s">
        <v>467</v>
      </c>
      <c r="F140" s="119"/>
      <c r="G140" s="96">
        <v>320</v>
      </c>
      <c r="H140" s="120" t="s">
        <v>153</v>
      </c>
      <c r="I140" s="121"/>
      <c r="J140" s="122">
        <v>0.08</v>
      </c>
      <c r="K140" s="123"/>
      <c r="L140" s="20">
        <f>(E131+E130-E132)*J140</f>
        <v>94.464696000000004</v>
      </c>
      <c r="M140" s="125"/>
      <c r="N140" s="128"/>
      <c r="O140" s="129"/>
    </row>
    <row r="141" spans="2:18" x14ac:dyDescent="0.25">
      <c r="B141" s="2" t="s">
        <v>55</v>
      </c>
      <c r="C141" s="3" t="str">
        <f>+CONCATENATE(C132,"-",C133,"-",C134)</f>
        <v>001-001-104</v>
      </c>
    </row>
    <row r="142" spans="2:18" x14ac:dyDescent="0.25">
      <c r="B142" s="2" t="s">
        <v>57</v>
      </c>
      <c r="C142" s="21" t="str">
        <f>+C132</f>
        <v>001</v>
      </c>
    </row>
    <row r="143" spans="2:18" x14ac:dyDescent="0.25">
      <c r="B143" s="2" t="s">
        <v>86</v>
      </c>
      <c r="C143" s="21" t="s">
        <v>143</v>
      </c>
      <c r="E143" s="28" t="s">
        <v>279</v>
      </c>
    </row>
    <row r="144" spans="2:18" x14ac:dyDescent="0.25">
      <c r="B144" s="2" t="s">
        <v>58</v>
      </c>
      <c r="C144" s="21" t="s">
        <v>73</v>
      </c>
      <c r="E144" s="109" t="s">
        <v>330</v>
      </c>
    </row>
    <row r="145" spans="1:18" x14ac:dyDescent="0.25">
      <c r="B145" s="2" t="s">
        <v>60</v>
      </c>
      <c r="C145" s="21" t="s">
        <v>74</v>
      </c>
      <c r="D145" s="95" t="s">
        <v>154</v>
      </c>
    </row>
    <row r="146" spans="1:18" x14ac:dyDescent="0.25">
      <c r="B146" s="2" t="s">
        <v>61</v>
      </c>
      <c r="C146" s="27">
        <f>+(E134-M139)*D146</f>
        <v>364.16140307999996</v>
      </c>
      <c r="D146" s="43">
        <v>0.3</v>
      </c>
    </row>
    <row r="147" spans="1:18" x14ac:dyDescent="0.25">
      <c r="B147" s="2" t="s">
        <v>60</v>
      </c>
      <c r="C147" s="21" t="s">
        <v>75</v>
      </c>
      <c r="D147" s="95" t="s">
        <v>154</v>
      </c>
    </row>
    <row r="148" spans="1:18" x14ac:dyDescent="0.25">
      <c r="B148" s="2" t="s">
        <v>61</v>
      </c>
      <c r="C148" s="27">
        <f>+(E134-M139)*D148</f>
        <v>364.16140307999996</v>
      </c>
      <c r="D148" s="43">
        <v>0.3</v>
      </c>
      <c r="E148" s="28"/>
      <c r="F148" s="28"/>
      <c r="H148" s="23"/>
      <c r="I148" s="23"/>
      <c r="J148" s="24"/>
      <c r="K148" s="24"/>
      <c r="L148" s="25"/>
      <c r="M148" s="26"/>
      <c r="N148" s="22"/>
      <c r="O148" s="22"/>
    </row>
    <row r="149" spans="1:18" x14ac:dyDescent="0.25">
      <c r="B149" s="2" t="s">
        <v>58</v>
      </c>
      <c r="C149" s="21" t="s">
        <v>76</v>
      </c>
      <c r="D149" s="95"/>
    </row>
    <row r="150" spans="1:18" x14ac:dyDescent="0.25">
      <c r="B150" s="2" t="s">
        <v>60</v>
      </c>
      <c r="C150" s="21" t="s">
        <v>89</v>
      </c>
      <c r="D150" s="95" t="s">
        <v>154</v>
      </c>
    </row>
    <row r="151" spans="1:18" x14ac:dyDescent="0.25">
      <c r="B151" s="2" t="s">
        <v>61</v>
      </c>
      <c r="C151" s="27">
        <f>+(E134-M139)*D151</f>
        <v>485.54853743999996</v>
      </c>
      <c r="D151" s="43">
        <v>0.4</v>
      </c>
    </row>
    <row r="152" spans="1:18" x14ac:dyDescent="0.25">
      <c r="B152" s="2" t="s">
        <v>344</v>
      </c>
      <c r="C152" s="27" t="s">
        <v>345</v>
      </c>
    </row>
    <row r="153" spans="1:18" x14ac:dyDescent="0.25">
      <c r="C153" s="36"/>
    </row>
    <row r="154" spans="1:18" ht="26.25" x14ac:dyDescent="0.4">
      <c r="A154" s="34" t="s">
        <v>3</v>
      </c>
      <c r="B154" s="34" t="s">
        <v>145</v>
      </c>
      <c r="C154" s="1" t="s">
        <v>404</v>
      </c>
    </row>
    <row r="155" spans="1:18" x14ac:dyDescent="0.25">
      <c r="B155" s="112" t="s">
        <v>398</v>
      </c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</row>
    <row r="156" spans="1:18" x14ac:dyDescent="0.25">
      <c r="B156" s="2" t="s">
        <v>6</v>
      </c>
      <c r="C156" s="3" t="s">
        <v>67</v>
      </c>
      <c r="D156" s="100" t="s">
        <v>8</v>
      </c>
      <c r="E156" s="5" t="s">
        <v>9</v>
      </c>
      <c r="F156" s="5" t="s">
        <v>14</v>
      </c>
      <c r="G156" s="5" t="s">
        <v>10</v>
      </c>
      <c r="H156" s="5" t="s">
        <v>11</v>
      </c>
      <c r="I156" s="5" t="s">
        <v>148</v>
      </c>
      <c r="J156" s="5" t="s">
        <v>149</v>
      </c>
      <c r="K156" s="5" t="s">
        <v>12</v>
      </c>
      <c r="L156" s="5" t="s">
        <v>13</v>
      </c>
      <c r="M156" s="5" t="s">
        <v>40</v>
      </c>
      <c r="N156" s="5" t="s">
        <v>14</v>
      </c>
      <c r="O156" s="5" t="s">
        <v>15</v>
      </c>
      <c r="P156" s="5" t="s">
        <v>16</v>
      </c>
      <c r="Q156" s="5" t="s">
        <v>17</v>
      </c>
      <c r="R156" s="5" t="s">
        <v>18</v>
      </c>
    </row>
    <row r="157" spans="1:18" x14ac:dyDescent="0.25">
      <c r="B157" s="2" t="s">
        <v>19</v>
      </c>
      <c r="C157" s="15" t="s">
        <v>68</v>
      </c>
      <c r="D157" s="7">
        <v>118.47</v>
      </c>
      <c r="E157" s="95" t="s">
        <v>95</v>
      </c>
      <c r="F157" s="43">
        <v>0.12</v>
      </c>
      <c r="G157" s="35" t="s">
        <v>99</v>
      </c>
      <c r="H157" s="51">
        <v>1.47</v>
      </c>
      <c r="I157" s="51">
        <f>+IF(F157=0%,D157*H157,0)</f>
        <v>0</v>
      </c>
      <c r="J157" s="51">
        <f>+IF(F157=12%,D157*H157,0)</f>
        <v>174.15090000000001</v>
      </c>
      <c r="K157" s="52">
        <v>0</v>
      </c>
      <c r="L157" s="53">
        <v>0</v>
      </c>
      <c r="M157" s="53">
        <f>+J157*K157</f>
        <v>0</v>
      </c>
      <c r="N157" s="53">
        <f>+(J157-M157)*F157</f>
        <v>20.898108000000001</v>
      </c>
      <c r="O157" s="53">
        <f>+J157-M157+N157</f>
        <v>195.04900800000001</v>
      </c>
      <c r="P157" s="7" t="s">
        <v>45</v>
      </c>
      <c r="Q157" s="7" t="s">
        <v>46</v>
      </c>
      <c r="R157" s="7" t="s">
        <v>45</v>
      </c>
    </row>
    <row r="158" spans="1:18" x14ac:dyDescent="0.25">
      <c r="B158" s="2" t="s">
        <v>21</v>
      </c>
      <c r="C158" s="15" t="s">
        <v>22</v>
      </c>
      <c r="D158" s="7">
        <v>249.58</v>
      </c>
      <c r="E158" s="95" t="s">
        <v>96</v>
      </c>
      <c r="F158" s="43">
        <v>0.12</v>
      </c>
      <c r="G158" s="35" t="s">
        <v>100</v>
      </c>
      <c r="H158" s="51">
        <v>2.96</v>
      </c>
      <c r="I158" s="51">
        <f>+IF(F158=0%,D158*H158,0)</f>
        <v>0</v>
      </c>
      <c r="J158" s="51">
        <f>+IF(F158=12%,D158*H158,0)</f>
        <v>738.7568</v>
      </c>
      <c r="K158" s="52">
        <v>0</v>
      </c>
      <c r="L158" s="53">
        <v>0</v>
      </c>
      <c r="M158" s="53">
        <f>+J158*K158</f>
        <v>0</v>
      </c>
      <c r="N158" s="53">
        <f>+(J158-M158)*F158</f>
        <v>88.650815999999992</v>
      </c>
      <c r="O158" s="53">
        <f>+J158-M158+N158</f>
        <v>827.40761599999996</v>
      </c>
      <c r="P158" s="7" t="s">
        <v>45</v>
      </c>
      <c r="Q158" s="95" t="s">
        <v>46</v>
      </c>
      <c r="R158" s="7" t="s">
        <v>45</v>
      </c>
    </row>
    <row r="159" spans="1:18" ht="30" x14ac:dyDescent="0.25">
      <c r="B159" s="2" t="s">
        <v>23</v>
      </c>
      <c r="C159" s="30" t="s">
        <v>70</v>
      </c>
      <c r="D159" s="7">
        <v>73.540000000000006</v>
      </c>
      <c r="E159" s="95" t="s">
        <v>97</v>
      </c>
      <c r="F159" s="43">
        <v>0.12</v>
      </c>
      <c r="G159" s="35" t="s">
        <v>101</v>
      </c>
      <c r="H159" s="51">
        <v>3.15</v>
      </c>
      <c r="I159" s="51">
        <f>+IF(F159=0%,D159*H159,0)</f>
        <v>0</v>
      </c>
      <c r="J159" s="51">
        <f>+IF(F159=12%,D159*H159,0)</f>
        <v>231.65100000000001</v>
      </c>
      <c r="K159" s="52">
        <v>0</v>
      </c>
      <c r="L159" s="53">
        <v>0</v>
      </c>
      <c r="M159" s="53">
        <f>+J159*K159</f>
        <v>0</v>
      </c>
      <c r="N159" s="53">
        <f>+(J159-M159)*F159</f>
        <v>27.798120000000001</v>
      </c>
      <c r="O159" s="53">
        <f>+J159-M159+N159</f>
        <v>259.44911999999999</v>
      </c>
      <c r="P159" s="7" t="s">
        <v>45</v>
      </c>
      <c r="Q159" s="95" t="s">
        <v>46</v>
      </c>
      <c r="R159" s="7" t="s">
        <v>45</v>
      </c>
    </row>
    <row r="160" spans="1:18" x14ac:dyDescent="0.25">
      <c r="B160" s="2" t="s">
        <v>26</v>
      </c>
      <c r="C160" s="12" t="s">
        <v>71</v>
      </c>
      <c r="D160" s="7">
        <v>29</v>
      </c>
      <c r="E160" s="95" t="s">
        <v>98</v>
      </c>
      <c r="F160" s="43">
        <v>0.12</v>
      </c>
      <c r="G160" s="35" t="s">
        <v>102</v>
      </c>
      <c r="H160" s="51">
        <v>1.25</v>
      </c>
      <c r="I160" s="51">
        <f>+IF(F160=0%,D160*H160,0)</f>
        <v>0</v>
      </c>
      <c r="J160" s="51">
        <f>+IF(F160=12%,D160*H160,0)</f>
        <v>36.25</v>
      </c>
      <c r="K160" s="52">
        <v>0</v>
      </c>
      <c r="L160" s="53">
        <v>0</v>
      </c>
      <c r="M160" s="53">
        <f>+J160*K160</f>
        <v>0</v>
      </c>
      <c r="N160" s="53">
        <f>+(J160-M160)*F160</f>
        <v>4.3499999999999996</v>
      </c>
      <c r="O160" s="53">
        <f>+J160-M160+N160</f>
        <v>40.6</v>
      </c>
      <c r="P160" s="7" t="s">
        <v>45</v>
      </c>
      <c r="Q160" s="95" t="s">
        <v>46</v>
      </c>
      <c r="R160" s="7" t="s">
        <v>45</v>
      </c>
    </row>
    <row r="161" spans="2:18" x14ac:dyDescent="0.25">
      <c r="B161" s="2" t="s">
        <v>27</v>
      </c>
      <c r="C161" s="3" t="s">
        <v>28</v>
      </c>
      <c r="D161" s="97"/>
      <c r="E161" s="95"/>
      <c r="F161" s="95"/>
      <c r="G161" s="95"/>
      <c r="H161" s="10"/>
      <c r="I161" s="10"/>
      <c r="J161" s="10"/>
      <c r="K161" s="10"/>
      <c r="L161" s="95"/>
      <c r="M161" s="10"/>
      <c r="N161" s="10"/>
      <c r="O161" s="11"/>
      <c r="P161" s="7"/>
      <c r="Q161" s="95"/>
      <c r="R161" s="7"/>
    </row>
    <row r="162" spans="2:18" ht="15.75" thickBot="1" x14ac:dyDescent="0.3">
      <c r="B162" s="2" t="s">
        <v>29</v>
      </c>
      <c r="C162" s="3">
        <v>1</v>
      </c>
      <c r="D162" s="97"/>
      <c r="E162" s="95"/>
      <c r="F162" s="95"/>
      <c r="G162" s="95"/>
      <c r="H162" s="10"/>
      <c r="I162" s="10"/>
      <c r="J162" s="10"/>
      <c r="K162" s="10"/>
      <c r="L162" s="95"/>
      <c r="M162" s="10"/>
      <c r="N162" s="10"/>
      <c r="O162" s="11"/>
      <c r="P162" s="95"/>
      <c r="Q162" s="95"/>
      <c r="R162" s="7"/>
    </row>
    <row r="163" spans="2:18" ht="15.75" thickBot="1" x14ac:dyDescent="0.3">
      <c r="B163" s="2" t="s">
        <v>30</v>
      </c>
      <c r="C163" s="7">
        <v>1122728319</v>
      </c>
      <c r="D163" s="16" t="s">
        <v>34</v>
      </c>
      <c r="E163" s="40">
        <f>+SUM(I157:I160)</f>
        <v>0</v>
      </c>
    </row>
    <row r="164" spans="2:18" ht="15.75" thickBot="1" x14ac:dyDescent="0.3">
      <c r="B164" s="2" t="s">
        <v>31</v>
      </c>
      <c r="C164" s="21">
        <v>43513</v>
      </c>
      <c r="D164" s="16" t="s">
        <v>36</v>
      </c>
      <c r="E164" s="17">
        <f>+SUM(J157:J162)</f>
        <v>1180.8087</v>
      </c>
    </row>
    <row r="165" spans="2:18" ht="15.75" thickBot="1" x14ac:dyDescent="0.3">
      <c r="B165" s="2" t="s">
        <v>32</v>
      </c>
      <c r="C165" s="15" t="s">
        <v>33</v>
      </c>
      <c r="D165" s="16" t="s">
        <v>39</v>
      </c>
      <c r="E165" s="17">
        <f>SUM(M157:M162)</f>
        <v>0</v>
      </c>
    </row>
    <row r="166" spans="2:18" ht="15.75" thickBot="1" x14ac:dyDescent="0.3">
      <c r="B166" s="2" t="s">
        <v>35</v>
      </c>
      <c r="C166" s="15" t="s">
        <v>33</v>
      </c>
      <c r="D166" s="16" t="s">
        <v>14</v>
      </c>
      <c r="E166" s="17">
        <f>SUM(N157:N162)</f>
        <v>141.69704400000001</v>
      </c>
    </row>
    <row r="167" spans="2:18" ht="15.75" thickBot="1" x14ac:dyDescent="0.3">
      <c r="B167" s="2" t="s">
        <v>37</v>
      </c>
      <c r="C167" s="15" t="s">
        <v>161</v>
      </c>
      <c r="D167" s="16" t="s">
        <v>15</v>
      </c>
      <c r="E167" s="17">
        <f>SUM(O157:O162)</f>
        <v>1322.5057439999998</v>
      </c>
    </row>
    <row r="168" spans="2:18" x14ac:dyDescent="0.25">
      <c r="B168" s="18"/>
      <c r="C168" s="18"/>
    </row>
    <row r="170" spans="2:18" x14ac:dyDescent="0.25">
      <c r="B170" s="114" t="s">
        <v>399</v>
      </c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</row>
    <row r="171" spans="2:18" x14ac:dyDescent="0.25">
      <c r="B171" s="2" t="s">
        <v>48</v>
      </c>
      <c r="C171" s="15" t="s">
        <v>33</v>
      </c>
      <c r="D171" s="19" t="s">
        <v>16</v>
      </c>
      <c r="E171" s="115" t="s">
        <v>152</v>
      </c>
      <c r="F171" s="116"/>
      <c r="G171" s="99" t="s">
        <v>150</v>
      </c>
      <c r="H171" s="117" t="s">
        <v>49</v>
      </c>
      <c r="I171" s="118"/>
      <c r="J171" s="117" t="s">
        <v>151</v>
      </c>
      <c r="K171" s="118"/>
      <c r="L171" s="5" t="s">
        <v>50</v>
      </c>
      <c r="M171" s="5" t="s">
        <v>51</v>
      </c>
      <c r="N171" s="117" t="s">
        <v>155</v>
      </c>
      <c r="O171" s="118"/>
    </row>
    <row r="172" spans="2:18" x14ac:dyDescent="0.25">
      <c r="B172" s="2" t="s">
        <v>52</v>
      </c>
      <c r="C172" s="15" t="s">
        <v>33</v>
      </c>
      <c r="D172" s="95" t="s">
        <v>181</v>
      </c>
      <c r="E172" s="119" t="s">
        <v>472</v>
      </c>
      <c r="F172" s="119"/>
      <c r="G172" s="96">
        <v>731</v>
      </c>
      <c r="H172" s="120" t="s">
        <v>14</v>
      </c>
      <c r="I172" s="121"/>
      <c r="J172" s="122">
        <v>0.2</v>
      </c>
      <c r="K172" s="123"/>
      <c r="L172" s="20">
        <f>+E166*J172</f>
        <v>28.339408800000001</v>
      </c>
      <c r="M172" s="124">
        <f>+L172+L173</f>
        <v>51.955582800000002</v>
      </c>
      <c r="N172" s="126">
        <f>+E167-M172</f>
        <v>1270.5501611999998</v>
      </c>
      <c r="O172" s="127"/>
    </row>
    <row r="173" spans="2:18" x14ac:dyDescent="0.25">
      <c r="B173" s="2" t="s">
        <v>53</v>
      </c>
      <c r="C173" s="15" t="s">
        <v>164</v>
      </c>
      <c r="D173" s="95" t="s">
        <v>175</v>
      </c>
      <c r="E173" s="119" t="s">
        <v>468</v>
      </c>
      <c r="F173" s="119"/>
      <c r="G173" s="96">
        <v>311</v>
      </c>
      <c r="H173" s="120" t="s">
        <v>153</v>
      </c>
      <c r="I173" s="121"/>
      <c r="J173" s="122">
        <v>0.02</v>
      </c>
      <c r="K173" s="123"/>
      <c r="L173" s="20">
        <f>(E164+E163-E165)*J173</f>
        <v>23.616174000000001</v>
      </c>
      <c r="M173" s="125"/>
      <c r="N173" s="128"/>
      <c r="O173" s="129"/>
    </row>
    <row r="174" spans="2:18" x14ac:dyDescent="0.25">
      <c r="B174" s="2" t="s">
        <v>55</v>
      </c>
      <c r="C174" s="3" t="str">
        <f>+CONCATENATE(C165,"-",C166,"-",C167)</f>
        <v>001-001-105</v>
      </c>
    </row>
    <row r="175" spans="2:18" x14ac:dyDescent="0.25">
      <c r="B175" s="2" t="s">
        <v>57</v>
      </c>
      <c r="C175" s="21">
        <f>+C164</f>
        <v>43513</v>
      </c>
    </row>
    <row r="176" spans="2:18" x14ac:dyDescent="0.25">
      <c r="B176" s="2" t="s">
        <v>86</v>
      </c>
      <c r="C176" s="21" t="s">
        <v>143</v>
      </c>
      <c r="E176" s="28" t="s">
        <v>279</v>
      </c>
    </row>
    <row r="177" spans="1:18" x14ac:dyDescent="0.25">
      <c r="B177" s="2" t="s">
        <v>58</v>
      </c>
      <c r="C177" s="21" t="s">
        <v>73</v>
      </c>
      <c r="E177" s="110" t="s">
        <v>330</v>
      </c>
    </row>
    <row r="178" spans="1:18" x14ac:dyDescent="0.25">
      <c r="B178" s="2" t="s">
        <v>60</v>
      </c>
      <c r="C178" s="21" t="s">
        <v>74</v>
      </c>
      <c r="D178" s="95" t="s">
        <v>154</v>
      </c>
    </row>
    <row r="179" spans="1:18" x14ac:dyDescent="0.25">
      <c r="B179" s="2" t="s">
        <v>61</v>
      </c>
      <c r="C179" s="27">
        <f>+(E167-M172)*D179</f>
        <v>762.33009671999991</v>
      </c>
      <c r="D179" s="43">
        <v>0.6</v>
      </c>
    </row>
    <row r="180" spans="1:18" x14ac:dyDescent="0.25">
      <c r="B180" s="2" t="s">
        <v>147</v>
      </c>
      <c r="C180" s="21" t="s">
        <v>84</v>
      </c>
    </row>
    <row r="181" spans="1:18" x14ac:dyDescent="0.25">
      <c r="B181" s="2" t="s">
        <v>60</v>
      </c>
      <c r="C181" s="21" t="s">
        <v>85</v>
      </c>
      <c r="D181" s="95" t="s">
        <v>154</v>
      </c>
    </row>
    <row r="182" spans="1:18" x14ac:dyDescent="0.25">
      <c r="B182" s="2" t="s">
        <v>61</v>
      </c>
      <c r="C182" s="27">
        <f>+(E167-M172)*D182</f>
        <v>508.22006447999996</v>
      </c>
      <c r="D182" s="43">
        <v>0.4</v>
      </c>
    </row>
    <row r="183" spans="1:18" x14ac:dyDescent="0.25">
      <c r="B183" s="2" t="s">
        <v>344</v>
      </c>
      <c r="C183" s="27" t="s">
        <v>84</v>
      </c>
    </row>
    <row r="184" spans="1:18" s="71" customFormat="1" x14ac:dyDescent="0.25"/>
    <row r="185" spans="1:18" ht="26.25" x14ac:dyDescent="0.4">
      <c r="A185" s="34" t="s">
        <v>72</v>
      </c>
      <c r="B185" s="34" t="s">
        <v>92</v>
      </c>
      <c r="C185" s="1" t="s">
        <v>405</v>
      </c>
    </row>
    <row r="186" spans="1:18" x14ac:dyDescent="0.25">
      <c r="B186" s="112" t="s">
        <v>398</v>
      </c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</row>
    <row r="187" spans="1:18" x14ac:dyDescent="0.25">
      <c r="B187" s="2" t="s">
        <v>6</v>
      </c>
      <c r="C187" s="3" t="s">
        <v>7</v>
      </c>
      <c r="D187" s="100" t="s">
        <v>8</v>
      </c>
      <c r="E187" s="5" t="s">
        <v>9</v>
      </c>
      <c r="F187" s="5" t="s">
        <v>14</v>
      </c>
      <c r="G187" s="5" t="s">
        <v>10</v>
      </c>
      <c r="H187" s="5" t="s">
        <v>11</v>
      </c>
      <c r="I187" s="5" t="s">
        <v>148</v>
      </c>
      <c r="J187" s="5" t="s">
        <v>149</v>
      </c>
      <c r="K187" s="5" t="s">
        <v>12</v>
      </c>
      <c r="L187" s="5" t="s">
        <v>13</v>
      </c>
      <c r="M187" s="5" t="s">
        <v>40</v>
      </c>
      <c r="N187" s="5" t="s">
        <v>14</v>
      </c>
      <c r="O187" s="5" t="s">
        <v>15</v>
      </c>
      <c r="P187" s="5" t="s">
        <v>16</v>
      </c>
      <c r="Q187" s="5" t="s">
        <v>17</v>
      </c>
      <c r="R187" s="5" t="s">
        <v>18</v>
      </c>
    </row>
    <row r="188" spans="1:18" x14ac:dyDescent="0.25">
      <c r="B188" s="2" t="s">
        <v>19</v>
      </c>
      <c r="C188" s="6" t="s">
        <v>20</v>
      </c>
      <c r="D188" s="95">
        <v>61</v>
      </c>
      <c r="E188" s="95" t="s">
        <v>41</v>
      </c>
      <c r="F188" s="43">
        <v>0.12</v>
      </c>
      <c r="G188" s="7" t="s">
        <v>104</v>
      </c>
      <c r="H188" s="51">
        <v>1.45</v>
      </c>
      <c r="I188" s="51">
        <f>+IF(F188=0%,D188*H188,0)</f>
        <v>0</v>
      </c>
      <c r="J188" s="51">
        <f>+IF(F188=12%,D188*H188,0)</f>
        <v>88.45</v>
      </c>
      <c r="K188" s="52">
        <v>0</v>
      </c>
      <c r="L188" s="53">
        <v>0</v>
      </c>
      <c r="M188" s="53">
        <f>+J188*K188</f>
        <v>0</v>
      </c>
      <c r="N188" s="53">
        <f>+(J188-M188)*F188</f>
        <v>10.614000000000001</v>
      </c>
      <c r="O188" s="53">
        <f>+J188-M188+N188</f>
        <v>99.064000000000007</v>
      </c>
      <c r="P188" s="7" t="s">
        <v>45</v>
      </c>
      <c r="Q188" s="7" t="s">
        <v>46</v>
      </c>
      <c r="R188" s="7" t="s">
        <v>45</v>
      </c>
    </row>
    <row r="189" spans="1:18" x14ac:dyDescent="0.25">
      <c r="B189" s="2" t="s">
        <v>21</v>
      </c>
      <c r="C189" s="15" t="s">
        <v>22</v>
      </c>
      <c r="D189" s="95">
        <v>56.21</v>
      </c>
      <c r="E189" s="95" t="s">
        <v>42</v>
      </c>
      <c r="F189" s="43">
        <v>0.12</v>
      </c>
      <c r="G189" s="7" t="s">
        <v>106</v>
      </c>
      <c r="H189" s="51">
        <v>2.96</v>
      </c>
      <c r="I189" s="51">
        <f>+IF(F189=0%,D189*H189,0)</f>
        <v>0</v>
      </c>
      <c r="J189" s="51">
        <f>+IF(F189=12%,D189*H189,0)</f>
        <v>166.38159999999999</v>
      </c>
      <c r="K189" s="52">
        <v>0</v>
      </c>
      <c r="L189" s="53">
        <v>0</v>
      </c>
      <c r="M189" s="53">
        <f>+J189*K189</f>
        <v>0</v>
      </c>
      <c r="N189" s="53">
        <f>+(J189-M189)*F189</f>
        <v>19.965791999999997</v>
      </c>
      <c r="O189" s="53">
        <f>+J189-M189+N189</f>
        <v>186.34739199999999</v>
      </c>
      <c r="P189" s="7" t="s">
        <v>45</v>
      </c>
      <c r="Q189" s="95" t="s">
        <v>46</v>
      </c>
      <c r="R189" s="7" t="s">
        <v>45</v>
      </c>
    </row>
    <row r="190" spans="1:18" ht="30" x14ac:dyDescent="0.25">
      <c r="B190" s="2" t="s">
        <v>23</v>
      </c>
      <c r="C190" s="8" t="s">
        <v>70</v>
      </c>
      <c r="D190" s="97">
        <v>49</v>
      </c>
      <c r="E190" s="95" t="s">
        <v>43</v>
      </c>
      <c r="F190" s="43">
        <v>0.12</v>
      </c>
      <c r="G190" s="7" t="s">
        <v>108</v>
      </c>
      <c r="H190" s="51">
        <v>3.15</v>
      </c>
      <c r="I190" s="51">
        <f>+IF(F190=0%,D190*H190,0)</f>
        <v>0</v>
      </c>
      <c r="J190" s="51">
        <f>+IF(F190=12%,D190*H190,0)</f>
        <v>154.35</v>
      </c>
      <c r="K190" s="52">
        <v>0</v>
      </c>
      <c r="L190" s="53">
        <v>0</v>
      </c>
      <c r="M190" s="53">
        <f>+J190*K190</f>
        <v>0</v>
      </c>
      <c r="N190" s="53">
        <f>+(J190-M190)*F190</f>
        <v>18.521999999999998</v>
      </c>
      <c r="O190" s="53">
        <f>+J190-M190+N190</f>
        <v>172.87199999999999</v>
      </c>
      <c r="P190" s="7" t="s">
        <v>45</v>
      </c>
      <c r="Q190" s="95" t="s">
        <v>46</v>
      </c>
      <c r="R190" s="7" t="s">
        <v>45</v>
      </c>
    </row>
    <row r="191" spans="1:18" x14ac:dyDescent="0.25">
      <c r="B191" s="2" t="s">
        <v>26</v>
      </c>
      <c r="C191" s="12" t="s">
        <v>71</v>
      </c>
      <c r="D191" s="97">
        <v>12.2</v>
      </c>
      <c r="E191" s="95" t="s">
        <v>44</v>
      </c>
      <c r="F191" s="43">
        <v>0.12</v>
      </c>
      <c r="G191" s="7" t="s">
        <v>110</v>
      </c>
      <c r="H191" s="51">
        <v>1.25</v>
      </c>
      <c r="I191" s="51">
        <f>+IF(F191=0%,D191*H191,0)</f>
        <v>0</v>
      </c>
      <c r="J191" s="51">
        <f>+IF(F191=12%,D191*H191,0)</f>
        <v>15.25</v>
      </c>
      <c r="K191" s="52">
        <v>0</v>
      </c>
      <c r="L191" s="53">
        <v>0</v>
      </c>
      <c r="M191" s="53">
        <f>+J191*K191</f>
        <v>0</v>
      </c>
      <c r="N191" s="53">
        <f>+(J191-M191)*F191</f>
        <v>1.8299999999999998</v>
      </c>
      <c r="O191" s="53">
        <f>+J191-M191+N191</f>
        <v>17.079999999999998</v>
      </c>
      <c r="P191" s="7" t="s">
        <v>45</v>
      </c>
      <c r="Q191" s="95" t="s">
        <v>46</v>
      </c>
      <c r="R191" s="7" t="s">
        <v>45</v>
      </c>
    </row>
    <row r="192" spans="1:18" x14ac:dyDescent="0.25">
      <c r="B192" s="2" t="s">
        <v>27</v>
      </c>
      <c r="C192" s="3" t="s">
        <v>28</v>
      </c>
      <c r="D192" s="95"/>
      <c r="E192" s="95"/>
      <c r="F192" s="95"/>
      <c r="G192" s="7"/>
      <c r="H192" s="10"/>
      <c r="I192" s="10"/>
      <c r="J192" s="10"/>
      <c r="K192" s="10"/>
      <c r="L192" s="95"/>
      <c r="M192" s="10"/>
      <c r="N192" s="10"/>
      <c r="O192" s="11"/>
      <c r="P192" s="7"/>
      <c r="Q192" s="95"/>
      <c r="R192" s="7"/>
    </row>
    <row r="193" spans="1:18" x14ac:dyDescent="0.25">
      <c r="B193" s="2" t="s">
        <v>29</v>
      </c>
      <c r="C193" s="3">
        <v>1</v>
      </c>
      <c r="D193" s="95"/>
      <c r="E193" s="95"/>
      <c r="F193" s="95"/>
      <c r="G193" s="95"/>
      <c r="H193" s="10"/>
      <c r="I193" s="10"/>
      <c r="J193" s="10"/>
      <c r="K193" s="10"/>
      <c r="L193" s="95"/>
      <c r="M193" s="10"/>
      <c r="N193" s="10"/>
      <c r="O193" s="11"/>
      <c r="P193" s="95"/>
      <c r="Q193" s="95"/>
      <c r="R193" s="7"/>
    </row>
    <row r="194" spans="1:18" ht="15.75" thickBot="1" x14ac:dyDescent="0.3">
      <c r="B194" s="2" t="s">
        <v>30</v>
      </c>
      <c r="C194" s="7">
        <v>1120335551</v>
      </c>
      <c r="D194" s="39" t="s">
        <v>148</v>
      </c>
      <c r="E194" s="49">
        <f>+SUM(I188:I191)</f>
        <v>0</v>
      </c>
      <c r="G194" s="23"/>
      <c r="H194" s="41"/>
      <c r="I194" s="41"/>
      <c r="J194" s="41"/>
      <c r="K194" s="41"/>
      <c r="L194" s="23"/>
      <c r="M194" s="41"/>
      <c r="N194" s="41"/>
      <c r="O194" s="42"/>
      <c r="P194" s="23"/>
      <c r="Q194" s="23"/>
      <c r="R194" s="22"/>
    </row>
    <row r="195" spans="1:18" ht="15.75" thickBot="1" x14ac:dyDescent="0.3">
      <c r="B195" s="2" t="s">
        <v>31</v>
      </c>
      <c r="C195" s="14">
        <v>43514</v>
      </c>
      <c r="D195" s="16" t="s">
        <v>36</v>
      </c>
      <c r="E195" s="50">
        <f>+SUM(J188:J193)</f>
        <v>424.4316</v>
      </c>
      <c r="G195" s="23"/>
      <c r="H195" s="41"/>
      <c r="I195" s="41"/>
      <c r="J195" s="41"/>
      <c r="K195" s="41"/>
      <c r="L195" s="23"/>
      <c r="M195" s="41"/>
      <c r="N195" s="41"/>
      <c r="O195" s="42"/>
      <c r="P195" s="23"/>
      <c r="Q195" s="23"/>
      <c r="R195" s="22"/>
    </row>
    <row r="196" spans="1:18" ht="15.75" thickBot="1" x14ac:dyDescent="0.3">
      <c r="B196" s="2" t="s">
        <v>32</v>
      </c>
      <c r="C196" s="15" t="s">
        <v>33</v>
      </c>
      <c r="D196" s="16" t="s">
        <v>39</v>
      </c>
      <c r="E196" s="50">
        <f>SUM(M188:M193)</f>
        <v>0</v>
      </c>
    </row>
    <row r="197" spans="1:18" ht="15.75" thickBot="1" x14ac:dyDescent="0.3">
      <c r="B197" s="2" t="s">
        <v>35</v>
      </c>
      <c r="C197" s="15" t="s">
        <v>33</v>
      </c>
      <c r="D197" s="16" t="s">
        <v>14</v>
      </c>
      <c r="E197" s="50">
        <f>SUM(N188:N193)</f>
        <v>50.931791999999994</v>
      </c>
    </row>
    <row r="198" spans="1:18" ht="15.75" thickBot="1" x14ac:dyDescent="0.3">
      <c r="B198" s="2" t="s">
        <v>37</v>
      </c>
      <c r="C198" s="15" t="s">
        <v>246</v>
      </c>
      <c r="D198" s="16" t="s">
        <v>15</v>
      </c>
      <c r="E198" s="50">
        <f>SUM(O188:O193)</f>
        <v>475.36339199999992</v>
      </c>
    </row>
    <row r="199" spans="1:18" x14ac:dyDescent="0.25">
      <c r="B199" s="18"/>
      <c r="C199" s="18"/>
    </row>
    <row r="200" spans="1:18" x14ac:dyDescent="0.25">
      <c r="B200" s="18"/>
      <c r="C200" s="18"/>
    </row>
    <row r="201" spans="1:18" x14ac:dyDescent="0.25">
      <c r="B201" s="114" t="s">
        <v>457</v>
      </c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</row>
    <row r="202" spans="1:18" x14ac:dyDescent="0.25">
      <c r="B202" s="2" t="s">
        <v>86</v>
      </c>
      <c r="C202" s="21" t="s">
        <v>87</v>
      </c>
      <c r="D202" s="22"/>
      <c r="E202" s="23"/>
      <c r="F202" s="23"/>
      <c r="H202" s="23"/>
      <c r="I202" s="23"/>
      <c r="J202" s="24"/>
      <c r="K202" s="24"/>
      <c r="L202" s="25"/>
      <c r="M202" s="26"/>
      <c r="N202" s="22"/>
      <c r="O202" s="22"/>
    </row>
    <row r="203" spans="1:18" x14ac:dyDescent="0.25">
      <c r="B203" s="2" t="s">
        <v>59</v>
      </c>
      <c r="C203" s="21" t="s">
        <v>84</v>
      </c>
      <c r="D203" s="22"/>
      <c r="E203" s="23"/>
      <c r="F203" s="23"/>
      <c r="H203" s="23"/>
      <c r="I203" s="23"/>
      <c r="J203" s="24"/>
      <c r="K203" s="24"/>
      <c r="L203" s="25"/>
      <c r="M203" s="26"/>
      <c r="N203" s="22"/>
      <c r="O203" s="22"/>
    </row>
    <row r="204" spans="1:18" x14ac:dyDescent="0.25">
      <c r="B204" s="2" t="s">
        <v>60</v>
      </c>
      <c r="C204" s="21" t="s">
        <v>85</v>
      </c>
      <c r="D204" s="22"/>
      <c r="E204" s="28" t="s">
        <v>279</v>
      </c>
      <c r="F204" s="23"/>
      <c r="H204" s="23"/>
      <c r="I204" s="23"/>
      <c r="J204" s="24"/>
      <c r="K204" s="24"/>
      <c r="L204" s="25"/>
      <c r="M204" s="26"/>
      <c r="N204" s="22"/>
      <c r="O204" s="22"/>
    </row>
    <row r="205" spans="1:18" x14ac:dyDescent="0.25">
      <c r="B205" s="2" t="s">
        <v>61</v>
      </c>
      <c r="C205" s="27">
        <f>+E198</f>
        <v>475.36339199999992</v>
      </c>
      <c r="D205" s="22"/>
      <c r="E205" s="28" t="s">
        <v>330</v>
      </c>
      <c r="G205" s="23"/>
      <c r="H205" s="24"/>
      <c r="I205" s="24"/>
      <c r="J205" s="24"/>
      <c r="K205" s="25"/>
      <c r="L205" s="26"/>
      <c r="M205" s="22"/>
      <c r="N205" s="22"/>
    </row>
    <row r="206" spans="1:18" x14ac:dyDescent="0.25">
      <c r="B206" s="2" t="s">
        <v>344</v>
      </c>
      <c r="C206" s="27" t="s">
        <v>345</v>
      </c>
    </row>
    <row r="208" spans="1:18" ht="26.25" x14ac:dyDescent="0.4">
      <c r="A208" s="34" t="s">
        <v>72</v>
      </c>
      <c r="B208" s="34" t="s">
        <v>93</v>
      </c>
      <c r="C208" s="1" t="s">
        <v>406</v>
      </c>
    </row>
    <row r="209" spans="2:18" x14ac:dyDescent="0.25">
      <c r="B209" s="112" t="s">
        <v>398</v>
      </c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</row>
    <row r="210" spans="2:18" x14ac:dyDescent="0.25">
      <c r="B210" s="2" t="s">
        <v>6</v>
      </c>
      <c r="C210" s="3" t="s">
        <v>7</v>
      </c>
      <c r="D210" s="100" t="s">
        <v>8</v>
      </c>
      <c r="E210" s="5" t="s">
        <v>9</v>
      </c>
      <c r="F210" s="5" t="s">
        <v>14</v>
      </c>
      <c r="G210" s="5" t="s">
        <v>10</v>
      </c>
      <c r="H210" s="5" t="s">
        <v>11</v>
      </c>
      <c r="I210" s="5" t="s">
        <v>148</v>
      </c>
      <c r="J210" s="5" t="s">
        <v>149</v>
      </c>
      <c r="K210" s="5" t="s">
        <v>12</v>
      </c>
      <c r="L210" s="5" t="s">
        <v>13</v>
      </c>
      <c r="M210" s="5" t="s">
        <v>40</v>
      </c>
      <c r="N210" s="5" t="s">
        <v>14</v>
      </c>
      <c r="O210" s="5" t="s">
        <v>15</v>
      </c>
      <c r="P210" s="5" t="s">
        <v>16</v>
      </c>
      <c r="Q210" s="5" t="s">
        <v>17</v>
      </c>
      <c r="R210" s="5" t="s">
        <v>18</v>
      </c>
    </row>
    <row r="211" spans="2:18" x14ac:dyDescent="0.25">
      <c r="B211" s="2" t="s">
        <v>19</v>
      </c>
      <c r="C211" s="6" t="s">
        <v>20</v>
      </c>
      <c r="D211" s="95">
        <v>61</v>
      </c>
      <c r="E211" s="95" t="s">
        <v>41</v>
      </c>
      <c r="F211" s="43">
        <v>0.12</v>
      </c>
      <c r="G211" s="7" t="s">
        <v>104</v>
      </c>
      <c r="H211" s="51">
        <v>1.45</v>
      </c>
      <c r="I211" s="51">
        <f>+IF(F211=0%,D211*H211,0)</f>
        <v>0</v>
      </c>
      <c r="J211" s="51">
        <f>+IF(F211=12%,D211*H211,0)</f>
        <v>88.45</v>
      </c>
      <c r="K211" s="52">
        <v>0</v>
      </c>
      <c r="L211" s="53">
        <v>0</v>
      </c>
      <c r="M211" s="53">
        <f>+J211*K211</f>
        <v>0</v>
      </c>
      <c r="N211" s="53">
        <f>+(J211-M211)*F211</f>
        <v>10.614000000000001</v>
      </c>
      <c r="O211" s="53">
        <f>+J211-M211+N211</f>
        <v>99.064000000000007</v>
      </c>
      <c r="P211" s="7" t="s">
        <v>45</v>
      </c>
      <c r="Q211" s="7" t="s">
        <v>46</v>
      </c>
      <c r="R211" s="7" t="s">
        <v>45</v>
      </c>
    </row>
    <row r="212" spans="2:18" x14ac:dyDescent="0.25">
      <c r="B212" s="2" t="s">
        <v>21</v>
      </c>
      <c r="C212" s="15" t="s">
        <v>22</v>
      </c>
      <c r="D212" s="95">
        <v>56.21</v>
      </c>
      <c r="E212" s="95" t="s">
        <v>42</v>
      </c>
      <c r="F212" s="43">
        <v>0.12</v>
      </c>
      <c r="G212" s="7" t="s">
        <v>106</v>
      </c>
      <c r="H212" s="51">
        <v>2.96</v>
      </c>
      <c r="I212" s="51">
        <f>+IF(F212=0%,D212*H212,0)</f>
        <v>0</v>
      </c>
      <c r="J212" s="51">
        <f>+IF(F212=12%,D212*H212,0)</f>
        <v>166.38159999999999</v>
      </c>
      <c r="K212" s="52">
        <v>0</v>
      </c>
      <c r="L212" s="53">
        <v>0</v>
      </c>
      <c r="M212" s="53">
        <f>+J212*K212</f>
        <v>0</v>
      </c>
      <c r="N212" s="53">
        <f>+(J212-M212)*F212</f>
        <v>19.965791999999997</v>
      </c>
      <c r="O212" s="53">
        <f>+J212-M212+N212</f>
        <v>186.34739199999999</v>
      </c>
      <c r="P212" s="7" t="s">
        <v>45</v>
      </c>
      <c r="Q212" s="95" t="s">
        <v>46</v>
      </c>
      <c r="R212" s="7" t="s">
        <v>45</v>
      </c>
    </row>
    <row r="213" spans="2:18" ht="30" x14ac:dyDescent="0.25">
      <c r="B213" s="2" t="s">
        <v>23</v>
      </c>
      <c r="C213" s="30" t="s">
        <v>70</v>
      </c>
      <c r="D213" s="97">
        <v>49</v>
      </c>
      <c r="E213" s="95" t="s">
        <v>43</v>
      </c>
      <c r="F213" s="43">
        <v>0.12</v>
      </c>
      <c r="G213" s="7" t="s">
        <v>108</v>
      </c>
      <c r="H213" s="51">
        <v>4.7300000000000004</v>
      </c>
      <c r="I213" s="51">
        <f>+IF(F213=0%,D213*H213,0)</f>
        <v>0</v>
      </c>
      <c r="J213" s="51">
        <f>+IF(F213=12%,D213*H213,0)</f>
        <v>231.77</v>
      </c>
      <c r="K213" s="52">
        <v>0</v>
      </c>
      <c r="L213" s="53">
        <v>0</v>
      </c>
      <c r="M213" s="53">
        <f>+J213*K213</f>
        <v>0</v>
      </c>
      <c r="N213" s="53">
        <f>+(J213-M213)*F213</f>
        <v>27.8124</v>
      </c>
      <c r="O213" s="53">
        <f>+J213-M213+N213</f>
        <v>259.58240000000001</v>
      </c>
      <c r="P213" s="7" t="s">
        <v>45</v>
      </c>
      <c r="Q213" s="95" t="s">
        <v>46</v>
      </c>
      <c r="R213" s="7" t="s">
        <v>45</v>
      </c>
    </row>
    <row r="214" spans="2:18" x14ac:dyDescent="0.25">
      <c r="B214" s="2" t="s">
        <v>26</v>
      </c>
      <c r="C214" s="12" t="s">
        <v>71</v>
      </c>
      <c r="D214" s="97">
        <v>12.2</v>
      </c>
      <c r="E214" s="95" t="s">
        <v>44</v>
      </c>
      <c r="F214" s="43">
        <v>0.12</v>
      </c>
      <c r="G214" s="7" t="s">
        <v>110</v>
      </c>
      <c r="H214" s="51">
        <v>1.25</v>
      </c>
      <c r="I214" s="51">
        <f>+IF(F214=0%,D214*H214,0)</f>
        <v>0</v>
      </c>
      <c r="J214" s="51">
        <f>+IF(F214=12%,D214*H214,0)</f>
        <v>15.25</v>
      </c>
      <c r="K214" s="52">
        <v>0</v>
      </c>
      <c r="L214" s="53">
        <v>0</v>
      </c>
      <c r="M214" s="53">
        <f>+J214*K214</f>
        <v>0</v>
      </c>
      <c r="N214" s="53">
        <f>+(J214-M214)*F214</f>
        <v>1.8299999999999998</v>
      </c>
      <c r="O214" s="53">
        <f>+J214-M214+N214</f>
        <v>17.079999999999998</v>
      </c>
      <c r="P214" s="7" t="s">
        <v>45</v>
      </c>
      <c r="Q214" s="95" t="s">
        <v>46</v>
      </c>
      <c r="R214" s="7" t="s">
        <v>45</v>
      </c>
    </row>
    <row r="215" spans="2:18" x14ac:dyDescent="0.25">
      <c r="B215" s="2" t="s">
        <v>27</v>
      </c>
      <c r="C215" s="3" t="s">
        <v>28</v>
      </c>
      <c r="D215" s="95"/>
      <c r="E215" s="95"/>
      <c r="F215" s="95"/>
      <c r="G215" s="95"/>
      <c r="H215" s="10"/>
      <c r="I215" s="10"/>
      <c r="J215" s="10"/>
      <c r="K215" s="10"/>
      <c r="L215" s="95"/>
      <c r="M215" s="10"/>
      <c r="N215" s="10"/>
      <c r="O215" s="11"/>
      <c r="P215" s="7"/>
      <c r="Q215" s="95"/>
      <c r="R215" s="7"/>
    </row>
    <row r="216" spans="2:18" x14ac:dyDescent="0.25">
      <c r="B216" s="2" t="s">
        <v>29</v>
      </c>
      <c r="C216" s="3">
        <v>1</v>
      </c>
      <c r="D216" s="95"/>
      <c r="E216" s="95"/>
      <c r="F216" s="95"/>
      <c r="G216" s="95"/>
      <c r="H216" s="10"/>
      <c r="I216" s="10"/>
      <c r="J216" s="10"/>
      <c r="K216" s="10"/>
      <c r="L216" s="95"/>
      <c r="M216" s="10"/>
      <c r="N216" s="10"/>
      <c r="O216" s="11"/>
      <c r="P216" s="95"/>
      <c r="Q216" s="95"/>
      <c r="R216" s="7"/>
    </row>
    <row r="217" spans="2:18" ht="15.75" thickBot="1" x14ac:dyDescent="0.3">
      <c r="B217" s="2" t="s">
        <v>30</v>
      </c>
      <c r="C217" s="37">
        <v>1120335551</v>
      </c>
      <c r="D217" s="39" t="s">
        <v>34</v>
      </c>
      <c r="E217" s="40">
        <f>+SUM(I211:I214)</f>
        <v>0</v>
      </c>
      <c r="F217" s="23"/>
      <c r="G217" s="23"/>
      <c r="H217" s="41"/>
      <c r="I217" s="41"/>
      <c r="J217" s="41"/>
      <c r="K217" s="41"/>
      <c r="L217" s="23"/>
      <c r="M217" s="41"/>
      <c r="N217" s="41"/>
      <c r="O217" s="42"/>
      <c r="P217" s="23"/>
      <c r="Q217" s="23"/>
      <c r="R217" s="22"/>
    </row>
    <row r="218" spans="2:18" ht="15.75" thickBot="1" x14ac:dyDescent="0.3">
      <c r="B218" s="2" t="s">
        <v>31</v>
      </c>
      <c r="C218" s="14">
        <v>43514</v>
      </c>
      <c r="D218" s="16" t="s">
        <v>36</v>
      </c>
      <c r="E218" s="17">
        <f>+SUM(J211:J216)</f>
        <v>501.85159999999996</v>
      </c>
      <c r="F218" s="23"/>
      <c r="G218" s="23"/>
      <c r="H218" s="41"/>
      <c r="I218" s="41"/>
      <c r="J218" s="41"/>
      <c r="K218" s="41"/>
      <c r="L218" s="23"/>
      <c r="M218" s="41"/>
      <c r="N218" s="41"/>
      <c r="O218" s="42"/>
      <c r="P218" s="23"/>
      <c r="Q218" s="23"/>
      <c r="R218" s="22"/>
    </row>
    <row r="219" spans="2:18" ht="15.75" thickBot="1" x14ac:dyDescent="0.3">
      <c r="B219" s="2" t="s">
        <v>32</v>
      </c>
      <c r="C219" s="15" t="s">
        <v>33</v>
      </c>
      <c r="D219" s="16" t="s">
        <v>39</v>
      </c>
      <c r="E219" s="17">
        <f>SUM(M211:M216)</f>
        <v>0</v>
      </c>
      <c r="F219" s="23"/>
    </row>
    <row r="220" spans="2:18" ht="15.75" thickBot="1" x14ac:dyDescent="0.3">
      <c r="B220" s="2" t="s">
        <v>35</v>
      </c>
      <c r="C220" s="15" t="s">
        <v>33</v>
      </c>
      <c r="D220" s="16" t="s">
        <v>14</v>
      </c>
      <c r="E220" s="17">
        <f>SUM(N211:N216)</f>
        <v>60.222191999999993</v>
      </c>
      <c r="F220" s="23"/>
    </row>
    <row r="221" spans="2:18" ht="15.75" thickBot="1" x14ac:dyDescent="0.3">
      <c r="B221" s="2" t="s">
        <v>37</v>
      </c>
      <c r="C221" s="15" t="s">
        <v>247</v>
      </c>
      <c r="D221" s="16" t="s">
        <v>15</v>
      </c>
      <c r="E221" s="17">
        <f>SUM(O211:O216)</f>
        <v>562.07379200000003</v>
      </c>
      <c r="F221" s="23"/>
    </row>
    <row r="222" spans="2:18" x14ac:dyDescent="0.25">
      <c r="B222" s="18"/>
      <c r="C222" s="18"/>
    </row>
    <row r="223" spans="2:18" x14ac:dyDescent="0.25">
      <c r="B223" s="18"/>
      <c r="C223" s="18"/>
    </row>
    <row r="224" spans="2:18" x14ac:dyDescent="0.25">
      <c r="B224" s="114" t="s">
        <v>457</v>
      </c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</row>
    <row r="225" spans="1:18" x14ac:dyDescent="0.25">
      <c r="B225" s="2" t="s">
        <v>86</v>
      </c>
      <c r="C225" s="21" t="s">
        <v>87</v>
      </c>
      <c r="D225" s="22"/>
      <c r="E225" s="23"/>
      <c r="F225" s="23"/>
      <c r="G225" s="23"/>
      <c r="H225" s="23"/>
      <c r="I225" s="23"/>
      <c r="J225" s="24"/>
      <c r="K225" s="24"/>
      <c r="L225" s="25"/>
      <c r="M225" s="26"/>
      <c r="N225" s="22"/>
      <c r="O225" s="22"/>
    </row>
    <row r="226" spans="1:18" x14ac:dyDescent="0.25">
      <c r="B226" s="2" t="s">
        <v>59</v>
      </c>
      <c r="C226" s="21" t="s">
        <v>88</v>
      </c>
      <c r="D226" s="22"/>
      <c r="E226" s="23"/>
      <c r="F226" s="23"/>
      <c r="G226" s="23"/>
      <c r="H226" s="23"/>
      <c r="I226" s="23"/>
      <c r="J226" s="24"/>
      <c r="K226" s="24"/>
      <c r="L226" s="25"/>
      <c r="M226" s="26"/>
      <c r="N226" s="22"/>
      <c r="O226" s="22"/>
    </row>
    <row r="227" spans="1:18" x14ac:dyDescent="0.25">
      <c r="B227" s="2" t="s">
        <v>60</v>
      </c>
      <c r="C227" s="21" t="s">
        <v>89</v>
      </c>
      <c r="D227" s="22"/>
      <c r="E227" s="28" t="s">
        <v>279</v>
      </c>
      <c r="F227" s="23"/>
      <c r="G227" s="23"/>
      <c r="H227" s="23"/>
      <c r="I227" s="23"/>
      <c r="J227" s="24"/>
      <c r="K227" s="24"/>
      <c r="L227" s="25"/>
      <c r="M227" s="26"/>
      <c r="N227" s="22"/>
      <c r="O227" s="22"/>
    </row>
    <row r="228" spans="1:18" x14ac:dyDescent="0.25">
      <c r="B228" s="2" t="s">
        <v>61</v>
      </c>
      <c r="C228" s="27">
        <f>+E221</f>
        <v>562.07379200000003</v>
      </c>
      <c r="D228" s="22"/>
      <c r="E228" s="28" t="s">
        <v>330</v>
      </c>
      <c r="G228" s="23"/>
      <c r="H228" s="23"/>
      <c r="I228" s="24"/>
      <c r="J228" s="24"/>
      <c r="K228" s="25"/>
      <c r="L228" s="26"/>
      <c r="M228" s="22"/>
      <c r="N228" s="22"/>
    </row>
    <row r="229" spans="1:18" x14ac:dyDescent="0.25">
      <c r="B229" s="2" t="s">
        <v>344</v>
      </c>
      <c r="C229" s="27" t="s">
        <v>345</v>
      </c>
    </row>
    <row r="231" spans="1:18" ht="26.25" x14ac:dyDescent="0.4">
      <c r="A231" s="34" t="s">
        <v>72</v>
      </c>
      <c r="B231" s="34" t="s">
        <v>94</v>
      </c>
      <c r="C231" s="1" t="s">
        <v>407</v>
      </c>
    </row>
    <row r="232" spans="1:18" x14ac:dyDescent="0.25">
      <c r="B232" s="112" t="s">
        <v>398</v>
      </c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</row>
    <row r="233" spans="1:18" x14ac:dyDescent="0.25">
      <c r="B233" s="2" t="s">
        <v>6</v>
      </c>
      <c r="C233" s="3" t="s">
        <v>7</v>
      </c>
      <c r="D233" s="100" t="s">
        <v>8</v>
      </c>
      <c r="E233" s="5" t="s">
        <v>9</v>
      </c>
      <c r="F233" s="5" t="s">
        <v>14</v>
      </c>
      <c r="G233" s="5" t="s">
        <v>10</v>
      </c>
      <c r="H233" s="5" t="s">
        <v>11</v>
      </c>
      <c r="I233" s="5" t="s">
        <v>148</v>
      </c>
      <c r="J233" s="5" t="s">
        <v>149</v>
      </c>
      <c r="K233" s="5" t="s">
        <v>12</v>
      </c>
      <c r="L233" s="5" t="s">
        <v>13</v>
      </c>
      <c r="M233" s="5" t="s">
        <v>40</v>
      </c>
      <c r="N233" s="5" t="s">
        <v>14</v>
      </c>
      <c r="O233" s="5" t="s">
        <v>15</v>
      </c>
      <c r="P233" s="5" t="s">
        <v>16</v>
      </c>
      <c r="Q233" s="5" t="s">
        <v>17</v>
      </c>
      <c r="R233" s="5" t="s">
        <v>18</v>
      </c>
    </row>
    <row r="234" spans="1:18" x14ac:dyDescent="0.25">
      <c r="B234" s="2" t="s">
        <v>19</v>
      </c>
      <c r="C234" s="6" t="s">
        <v>20</v>
      </c>
      <c r="D234" s="95">
        <v>61</v>
      </c>
      <c r="E234" s="95" t="s">
        <v>41</v>
      </c>
      <c r="F234" s="43">
        <v>0.12</v>
      </c>
      <c r="G234" s="7" t="s">
        <v>104</v>
      </c>
      <c r="H234" s="51">
        <v>1.45</v>
      </c>
      <c r="I234" s="51">
        <f>+IF(F234=0%,D234*H234,0)</f>
        <v>0</v>
      </c>
      <c r="J234" s="51">
        <f>+IF(F234=12%,D234*H234,0)</f>
        <v>88.45</v>
      </c>
      <c r="K234" s="52">
        <v>0</v>
      </c>
      <c r="L234" s="53">
        <v>0</v>
      </c>
      <c r="M234" s="53">
        <f>+J234*K234</f>
        <v>0</v>
      </c>
      <c r="N234" s="53">
        <f>+(J234-M234)*F234</f>
        <v>10.614000000000001</v>
      </c>
      <c r="O234" s="53">
        <f>+J234-M234+N234</f>
        <v>99.064000000000007</v>
      </c>
      <c r="P234" s="7" t="s">
        <v>45</v>
      </c>
      <c r="Q234" s="7" t="s">
        <v>46</v>
      </c>
      <c r="R234" s="7" t="s">
        <v>45</v>
      </c>
    </row>
    <row r="235" spans="1:18" x14ac:dyDescent="0.25">
      <c r="B235" s="2" t="s">
        <v>21</v>
      </c>
      <c r="C235" s="15" t="s">
        <v>22</v>
      </c>
      <c r="D235" s="95">
        <v>56.21</v>
      </c>
      <c r="E235" s="95" t="s">
        <v>42</v>
      </c>
      <c r="F235" s="43">
        <v>0.12</v>
      </c>
      <c r="G235" s="7" t="s">
        <v>106</v>
      </c>
      <c r="H235" s="51">
        <v>2.96</v>
      </c>
      <c r="I235" s="51">
        <f>+IF(F235=0%,D235*H235,0)</f>
        <v>0</v>
      </c>
      <c r="J235" s="51">
        <f>+IF(F235=12%,D235*H235,0)</f>
        <v>166.38159999999999</v>
      </c>
      <c r="K235" s="52">
        <v>0</v>
      </c>
      <c r="L235" s="53">
        <v>0</v>
      </c>
      <c r="M235" s="53">
        <f>+J235*K235</f>
        <v>0</v>
      </c>
      <c r="N235" s="53">
        <f>+(J235-M235)*F235</f>
        <v>19.965791999999997</v>
      </c>
      <c r="O235" s="53">
        <f>+J235-M235+N235</f>
        <v>186.34739199999999</v>
      </c>
      <c r="P235" s="7" t="s">
        <v>45</v>
      </c>
      <c r="Q235" s="95" t="s">
        <v>46</v>
      </c>
      <c r="R235" s="7" t="s">
        <v>45</v>
      </c>
    </row>
    <row r="236" spans="1:18" ht="30" x14ac:dyDescent="0.25">
      <c r="B236" s="2" t="s">
        <v>23</v>
      </c>
      <c r="C236" s="30" t="s">
        <v>70</v>
      </c>
      <c r="D236" s="97">
        <v>49</v>
      </c>
      <c r="E236" s="95" t="s">
        <v>43</v>
      </c>
      <c r="F236" s="43">
        <v>0.12</v>
      </c>
      <c r="G236" s="7" t="s">
        <v>108</v>
      </c>
      <c r="H236" s="51">
        <v>2.77</v>
      </c>
      <c r="I236" s="51">
        <f>+IF(F236=0%,D236*H236,0)</f>
        <v>0</v>
      </c>
      <c r="J236" s="51">
        <f>+IF(F236=12%,D236*H236,0)</f>
        <v>135.72999999999999</v>
      </c>
      <c r="K236" s="52">
        <v>0</v>
      </c>
      <c r="L236" s="53">
        <v>0</v>
      </c>
      <c r="M236" s="53">
        <f>+J236*K236</f>
        <v>0</v>
      </c>
      <c r="N236" s="53">
        <f>+(J236-M236)*F236</f>
        <v>16.287599999999998</v>
      </c>
      <c r="O236" s="53">
        <f>+J236-M236+N236</f>
        <v>152.01759999999999</v>
      </c>
      <c r="P236" s="7" t="s">
        <v>45</v>
      </c>
      <c r="Q236" s="95" t="s">
        <v>46</v>
      </c>
      <c r="R236" s="7" t="s">
        <v>45</v>
      </c>
    </row>
    <row r="237" spans="1:18" x14ac:dyDescent="0.25">
      <c r="B237" s="2" t="s">
        <v>26</v>
      </c>
      <c r="C237" s="12" t="s">
        <v>71</v>
      </c>
      <c r="D237" s="97">
        <v>12.2</v>
      </c>
      <c r="E237" s="95" t="s">
        <v>44</v>
      </c>
      <c r="F237" s="43">
        <v>0.12</v>
      </c>
      <c r="G237" s="7" t="s">
        <v>110</v>
      </c>
      <c r="H237" s="51">
        <v>1.25</v>
      </c>
      <c r="I237" s="51">
        <f>+IF(F237=0%,D237*H237,0)</f>
        <v>0</v>
      </c>
      <c r="J237" s="51">
        <f>+IF(F237=12%,D237*H237,0)</f>
        <v>15.25</v>
      </c>
      <c r="K237" s="52">
        <v>0</v>
      </c>
      <c r="L237" s="53">
        <v>0</v>
      </c>
      <c r="M237" s="53">
        <f>+J237*K237</f>
        <v>0</v>
      </c>
      <c r="N237" s="53">
        <f>+(J237-M237)*F237</f>
        <v>1.8299999999999998</v>
      </c>
      <c r="O237" s="53">
        <f>+J237-M237+N237</f>
        <v>17.079999999999998</v>
      </c>
      <c r="P237" s="7" t="s">
        <v>45</v>
      </c>
      <c r="Q237" s="95" t="s">
        <v>46</v>
      </c>
      <c r="R237" s="7" t="s">
        <v>45</v>
      </c>
    </row>
    <row r="238" spans="1:18" x14ac:dyDescent="0.25">
      <c r="B238" s="2" t="s">
        <v>27</v>
      </c>
      <c r="C238" s="3" t="s">
        <v>28</v>
      </c>
      <c r="D238" s="97"/>
      <c r="E238" s="95"/>
      <c r="F238" s="95"/>
      <c r="G238" s="95"/>
      <c r="H238" s="10"/>
      <c r="I238" s="10"/>
      <c r="J238" s="10"/>
      <c r="K238" s="10"/>
      <c r="L238" s="95"/>
      <c r="M238" s="10"/>
      <c r="N238" s="10"/>
      <c r="O238" s="11"/>
      <c r="P238" s="7"/>
      <c r="Q238" s="95"/>
      <c r="R238" s="7"/>
    </row>
    <row r="239" spans="1:18" ht="15.75" thickBot="1" x14ac:dyDescent="0.3">
      <c r="B239" s="2" t="s">
        <v>29</v>
      </c>
      <c r="C239" s="3">
        <v>1</v>
      </c>
      <c r="D239" s="97"/>
      <c r="E239" s="95"/>
      <c r="F239" s="95"/>
      <c r="G239" s="95"/>
      <c r="H239" s="10"/>
      <c r="I239" s="10"/>
      <c r="J239" s="10"/>
      <c r="K239" s="10"/>
      <c r="L239" s="95"/>
      <c r="M239" s="10"/>
      <c r="N239" s="10"/>
      <c r="O239" s="11"/>
      <c r="P239" s="95"/>
      <c r="Q239" s="95"/>
      <c r="R239" s="7"/>
    </row>
    <row r="240" spans="1:18" ht="15.75" thickBot="1" x14ac:dyDescent="0.3">
      <c r="B240" s="2" t="s">
        <v>30</v>
      </c>
      <c r="C240" s="7">
        <v>1120335551</v>
      </c>
      <c r="D240" s="16" t="s">
        <v>34</v>
      </c>
      <c r="E240" s="40">
        <f>+SUM(I234:I237)</f>
        <v>0</v>
      </c>
    </row>
    <row r="241" spans="1:18" ht="15.75" thickBot="1" x14ac:dyDescent="0.3">
      <c r="B241" s="2" t="s">
        <v>31</v>
      </c>
      <c r="C241" s="14">
        <v>43514</v>
      </c>
      <c r="D241" s="16" t="s">
        <v>36</v>
      </c>
      <c r="E241" s="17">
        <f>+SUM(J234:J239)</f>
        <v>405.8116</v>
      </c>
    </row>
    <row r="242" spans="1:18" ht="15.75" thickBot="1" x14ac:dyDescent="0.3">
      <c r="B242" s="2" t="s">
        <v>32</v>
      </c>
      <c r="C242" s="15" t="s">
        <v>33</v>
      </c>
      <c r="D242" s="16" t="s">
        <v>39</v>
      </c>
      <c r="E242" s="17">
        <f>SUM(M234:M239)</f>
        <v>0</v>
      </c>
    </row>
    <row r="243" spans="1:18" ht="15.75" thickBot="1" x14ac:dyDescent="0.3">
      <c r="B243" s="2" t="s">
        <v>35</v>
      </c>
      <c r="C243" s="15" t="s">
        <v>33</v>
      </c>
      <c r="D243" s="16" t="s">
        <v>14</v>
      </c>
      <c r="E243" s="17">
        <f>SUM(N234:N239)</f>
        <v>48.697391999999994</v>
      </c>
    </row>
    <row r="244" spans="1:18" ht="15.75" thickBot="1" x14ac:dyDescent="0.3">
      <c r="B244" s="2" t="s">
        <v>37</v>
      </c>
      <c r="C244" s="15" t="s">
        <v>248</v>
      </c>
      <c r="D244" s="16" t="s">
        <v>15</v>
      </c>
      <c r="E244" s="17">
        <f>SUM(O234:O239)</f>
        <v>454.50899199999998</v>
      </c>
    </row>
    <row r="245" spans="1:18" x14ac:dyDescent="0.25">
      <c r="B245" s="18"/>
      <c r="C245" s="18"/>
    </row>
    <row r="247" spans="1:18" x14ac:dyDescent="0.25">
      <c r="B247" s="114" t="s">
        <v>457</v>
      </c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</row>
    <row r="248" spans="1:18" x14ac:dyDescent="0.25">
      <c r="B248" s="2" t="s">
        <v>86</v>
      </c>
      <c r="C248" s="21" t="s">
        <v>87</v>
      </c>
    </row>
    <row r="249" spans="1:18" x14ac:dyDescent="0.25">
      <c r="B249" s="2" t="s">
        <v>59</v>
      </c>
      <c r="C249" s="21" t="s">
        <v>90</v>
      </c>
    </row>
    <row r="250" spans="1:18" x14ac:dyDescent="0.25">
      <c r="B250" s="2" t="s">
        <v>60</v>
      </c>
      <c r="C250" s="21" t="s">
        <v>91</v>
      </c>
      <c r="E250" s="28" t="s">
        <v>279</v>
      </c>
    </row>
    <row r="251" spans="1:18" x14ac:dyDescent="0.25">
      <c r="B251" s="2" t="s">
        <v>61</v>
      </c>
      <c r="C251" s="27">
        <f>+E244</f>
        <v>454.50899199999998</v>
      </c>
      <c r="E251" s="109" t="s">
        <v>330</v>
      </c>
    </row>
    <row r="252" spans="1:18" x14ac:dyDescent="0.25">
      <c r="B252" s="2" t="s">
        <v>344</v>
      </c>
      <c r="C252" s="27" t="s">
        <v>345</v>
      </c>
    </row>
    <row r="254" spans="1:18" ht="26.25" x14ac:dyDescent="0.4">
      <c r="A254" s="34" t="s">
        <v>3</v>
      </c>
      <c r="B254" s="34" t="s">
        <v>140</v>
      </c>
      <c r="C254" s="1" t="s">
        <v>408</v>
      </c>
    </row>
    <row r="255" spans="1:18" x14ac:dyDescent="0.25">
      <c r="B255" s="112" t="s">
        <v>398</v>
      </c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</row>
    <row r="256" spans="1:18" x14ac:dyDescent="0.25">
      <c r="B256" s="2" t="s">
        <v>6</v>
      </c>
      <c r="C256" s="3" t="s">
        <v>67</v>
      </c>
      <c r="D256" s="100" t="s">
        <v>8</v>
      </c>
      <c r="E256" s="5" t="s">
        <v>9</v>
      </c>
      <c r="F256" s="5" t="s">
        <v>14</v>
      </c>
      <c r="G256" s="5" t="s">
        <v>10</v>
      </c>
      <c r="H256" s="5" t="s">
        <v>11</v>
      </c>
      <c r="I256" s="5" t="s">
        <v>148</v>
      </c>
      <c r="J256" s="5" t="s">
        <v>149</v>
      </c>
      <c r="K256" s="5" t="s">
        <v>12</v>
      </c>
      <c r="L256" s="5" t="s">
        <v>13</v>
      </c>
      <c r="M256" s="5" t="s">
        <v>40</v>
      </c>
      <c r="N256" s="5" t="s">
        <v>14</v>
      </c>
      <c r="O256" s="5" t="s">
        <v>15</v>
      </c>
      <c r="P256" s="5" t="s">
        <v>16</v>
      </c>
      <c r="Q256" s="5" t="s">
        <v>17</v>
      </c>
      <c r="R256" s="5" t="s">
        <v>18</v>
      </c>
    </row>
    <row r="257" spans="2:18" x14ac:dyDescent="0.25">
      <c r="B257" s="2" t="s">
        <v>19</v>
      </c>
      <c r="C257" s="15" t="s">
        <v>68</v>
      </c>
      <c r="D257" s="7">
        <v>118.47</v>
      </c>
      <c r="E257" s="95" t="s">
        <v>95</v>
      </c>
      <c r="F257" s="43">
        <v>0.12</v>
      </c>
      <c r="G257" s="35" t="s">
        <v>99</v>
      </c>
      <c r="H257" s="51">
        <v>1.47</v>
      </c>
      <c r="I257" s="51">
        <f>+IF(F257=0%,D257*H257,0)</f>
        <v>0</v>
      </c>
      <c r="J257" s="51">
        <f>+IF(F257=12%,D257*H257,0)</f>
        <v>174.15090000000001</v>
      </c>
      <c r="K257" s="52">
        <v>0</v>
      </c>
      <c r="L257" s="53">
        <v>0</v>
      </c>
      <c r="M257" s="53">
        <f>+J257*K257</f>
        <v>0</v>
      </c>
      <c r="N257" s="53">
        <f>+(J257-M257)*F257</f>
        <v>20.898108000000001</v>
      </c>
      <c r="O257" s="53">
        <f>+J257-M257+N257</f>
        <v>195.04900800000001</v>
      </c>
      <c r="P257" s="7" t="s">
        <v>45</v>
      </c>
      <c r="Q257" s="7" t="s">
        <v>46</v>
      </c>
      <c r="R257" s="7" t="s">
        <v>45</v>
      </c>
    </row>
    <row r="258" spans="2:18" x14ac:dyDescent="0.25">
      <c r="B258" s="2" t="s">
        <v>21</v>
      </c>
      <c r="C258" s="15" t="s">
        <v>22</v>
      </c>
      <c r="D258" s="7">
        <v>249.58</v>
      </c>
      <c r="E258" s="95" t="s">
        <v>96</v>
      </c>
      <c r="F258" s="43">
        <v>0.12</v>
      </c>
      <c r="G258" s="35" t="s">
        <v>100</v>
      </c>
      <c r="H258" s="51">
        <v>2.96</v>
      </c>
      <c r="I258" s="51">
        <f>+IF(F258=0%,D258*H258,0)</f>
        <v>0</v>
      </c>
      <c r="J258" s="51">
        <f>+IF(F258=12%,D258*H258,0)</f>
        <v>738.7568</v>
      </c>
      <c r="K258" s="52">
        <v>0</v>
      </c>
      <c r="L258" s="53">
        <v>0</v>
      </c>
      <c r="M258" s="53">
        <f>+J258*K258</f>
        <v>0</v>
      </c>
      <c r="N258" s="53">
        <f>+(J258-M258)*F258</f>
        <v>88.650815999999992</v>
      </c>
      <c r="O258" s="53">
        <f>+J258-M258+N258</f>
        <v>827.40761599999996</v>
      </c>
      <c r="P258" s="7" t="s">
        <v>45</v>
      </c>
      <c r="Q258" s="95" t="s">
        <v>46</v>
      </c>
      <c r="R258" s="7" t="s">
        <v>45</v>
      </c>
    </row>
    <row r="259" spans="2:18" ht="30" x14ac:dyDescent="0.25">
      <c r="B259" s="2" t="s">
        <v>23</v>
      </c>
      <c r="C259" s="30" t="s">
        <v>70</v>
      </c>
      <c r="D259" s="7">
        <v>73.540000000000006</v>
      </c>
      <c r="E259" s="95" t="s">
        <v>97</v>
      </c>
      <c r="F259" s="43">
        <v>0.12</v>
      </c>
      <c r="G259" s="35" t="s">
        <v>101</v>
      </c>
      <c r="H259" s="51">
        <v>3.15</v>
      </c>
      <c r="I259" s="51">
        <f>+IF(F259=0%,D259*H259,0)</f>
        <v>0</v>
      </c>
      <c r="J259" s="51">
        <f>+IF(F259=12%,D259*H259,0)</f>
        <v>231.65100000000001</v>
      </c>
      <c r="K259" s="52">
        <v>0</v>
      </c>
      <c r="L259" s="53">
        <v>0</v>
      </c>
      <c r="M259" s="53">
        <f>+J259*K259</f>
        <v>0</v>
      </c>
      <c r="N259" s="53">
        <f>+(J259-M259)*F259</f>
        <v>27.798120000000001</v>
      </c>
      <c r="O259" s="53">
        <f>+J259-M259+N259</f>
        <v>259.44911999999999</v>
      </c>
      <c r="P259" s="7" t="s">
        <v>45</v>
      </c>
      <c r="Q259" s="95" t="s">
        <v>46</v>
      </c>
      <c r="R259" s="7" t="s">
        <v>45</v>
      </c>
    </row>
    <row r="260" spans="2:18" x14ac:dyDescent="0.25">
      <c r="B260" s="2" t="s">
        <v>26</v>
      </c>
      <c r="C260" s="12" t="s">
        <v>71</v>
      </c>
      <c r="D260" s="7">
        <v>29</v>
      </c>
      <c r="E260" s="95" t="s">
        <v>98</v>
      </c>
      <c r="F260" s="43">
        <v>0.12</v>
      </c>
      <c r="G260" s="35" t="s">
        <v>102</v>
      </c>
      <c r="H260" s="51">
        <v>1.25</v>
      </c>
      <c r="I260" s="51">
        <f>+IF(F260=0%,D260*H260,0)</f>
        <v>0</v>
      </c>
      <c r="J260" s="51">
        <f>+IF(F260=12%,D260*H260,0)</f>
        <v>36.25</v>
      </c>
      <c r="K260" s="52">
        <v>0</v>
      </c>
      <c r="L260" s="53">
        <v>0</v>
      </c>
      <c r="M260" s="53">
        <f>+J260*K260</f>
        <v>0</v>
      </c>
      <c r="N260" s="53">
        <f>+(J260-M260)*F260</f>
        <v>4.3499999999999996</v>
      </c>
      <c r="O260" s="53">
        <f>+J260-M260+N260</f>
        <v>40.6</v>
      </c>
      <c r="P260" s="7" t="s">
        <v>45</v>
      </c>
      <c r="Q260" s="95" t="s">
        <v>46</v>
      </c>
      <c r="R260" s="7" t="s">
        <v>45</v>
      </c>
    </row>
    <row r="261" spans="2:18" x14ac:dyDescent="0.25">
      <c r="B261" s="2" t="s">
        <v>27</v>
      </c>
      <c r="C261" s="3" t="s">
        <v>28</v>
      </c>
      <c r="D261" s="97"/>
      <c r="E261" s="95"/>
      <c r="F261" s="95"/>
      <c r="G261" s="95"/>
      <c r="H261" s="10"/>
      <c r="I261" s="10"/>
      <c r="J261" s="10"/>
      <c r="K261" s="10"/>
      <c r="L261" s="95"/>
      <c r="M261" s="10"/>
      <c r="N261" s="10"/>
      <c r="O261" s="11"/>
      <c r="P261" s="7"/>
      <c r="Q261" s="95"/>
      <c r="R261" s="7"/>
    </row>
    <row r="262" spans="2:18" ht="15.75" thickBot="1" x14ac:dyDescent="0.3">
      <c r="B262" s="2" t="s">
        <v>29</v>
      </c>
      <c r="C262" s="3">
        <v>1</v>
      </c>
      <c r="D262" s="97"/>
      <c r="E262" s="95"/>
      <c r="F262" s="95"/>
      <c r="G262" s="95"/>
      <c r="H262" s="10"/>
      <c r="I262" s="10"/>
      <c r="J262" s="10"/>
      <c r="K262" s="10"/>
      <c r="L262" s="95"/>
      <c r="M262" s="10"/>
      <c r="N262" s="10"/>
      <c r="O262" s="11"/>
      <c r="P262" s="95"/>
      <c r="Q262" s="95"/>
      <c r="R262" s="7"/>
    </row>
    <row r="263" spans="2:18" ht="15.75" thickBot="1" x14ac:dyDescent="0.3">
      <c r="B263" s="2" t="s">
        <v>30</v>
      </c>
      <c r="C263" s="7">
        <v>1122728319</v>
      </c>
      <c r="D263" s="16" t="s">
        <v>34</v>
      </c>
      <c r="E263" s="40">
        <f>+SUM(I257:I260)</f>
        <v>0</v>
      </c>
    </row>
    <row r="264" spans="2:18" ht="15.75" thickBot="1" x14ac:dyDescent="0.3">
      <c r="B264" s="2" t="s">
        <v>31</v>
      </c>
      <c r="C264" s="14">
        <v>43514</v>
      </c>
      <c r="D264" s="16" t="s">
        <v>36</v>
      </c>
      <c r="E264" s="17">
        <f>+SUM(J257:J262)</f>
        <v>1180.8087</v>
      </c>
    </row>
    <row r="265" spans="2:18" ht="15.75" thickBot="1" x14ac:dyDescent="0.3">
      <c r="B265" s="2" t="s">
        <v>32</v>
      </c>
      <c r="C265" s="15" t="s">
        <v>33</v>
      </c>
      <c r="D265" s="16" t="s">
        <v>39</v>
      </c>
      <c r="E265" s="17">
        <f>SUM(M257:M262)</f>
        <v>0</v>
      </c>
    </row>
    <row r="266" spans="2:18" ht="15.75" thickBot="1" x14ac:dyDescent="0.3">
      <c r="B266" s="2" t="s">
        <v>35</v>
      </c>
      <c r="C266" s="15" t="s">
        <v>33</v>
      </c>
      <c r="D266" s="16" t="s">
        <v>14</v>
      </c>
      <c r="E266" s="17">
        <f>SUM(N257:N262)</f>
        <v>141.69704400000001</v>
      </c>
    </row>
    <row r="267" spans="2:18" ht="15.75" thickBot="1" x14ac:dyDescent="0.3">
      <c r="B267" s="2" t="s">
        <v>37</v>
      </c>
      <c r="C267" s="15" t="s">
        <v>249</v>
      </c>
      <c r="D267" s="16" t="s">
        <v>15</v>
      </c>
      <c r="E267" s="17">
        <f>SUM(O257:O262)</f>
        <v>1322.5057439999998</v>
      </c>
    </row>
    <row r="268" spans="2:18" x14ac:dyDescent="0.25">
      <c r="B268" s="18"/>
      <c r="C268" s="18"/>
    </row>
    <row r="269" spans="2:18" x14ac:dyDescent="0.25">
      <c r="B269" s="18"/>
      <c r="C269" s="18"/>
    </row>
    <row r="270" spans="2:18" x14ac:dyDescent="0.25">
      <c r="B270" s="114" t="s">
        <v>457</v>
      </c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</row>
    <row r="271" spans="2:18" x14ac:dyDescent="0.25">
      <c r="B271" s="2" t="s">
        <v>86</v>
      </c>
      <c r="C271" s="21" t="s">
        <v>143</v>
      </c>
    </row>
    <row r="272" spans="2:18" x14ac:dyDescent="0.25">
      <c r="B272" s="2" t="s">
        <v>58</v>
      </c>
      <c r="C272" s="21" t="s">
        <v>144</v>
      </c>
    </row>
    <row r="273" spans="1:18" x14ac:dyDescent="0.25">
      <c r="B273" s="2" t="s">
        <v>60</v>
      </c>
      <c r="C273" s="21" t="s">
        <v>74</v>
      </c>
      <c r="E273" s="31" t="s">
        <v>279</v>
      </c>
    </row>
    <row r="274" spans="1:18" x14ac:dyDescent="0.25">
      <c r="B274" s="2" t="s">
        <v>61</v>
      </c>
      <c r="C274" s="27">
        <f>+E267</f>
        <v>1322.5057439999998</v>
      </c>
      <c r="E274" s="31" t="s">
        <v>330</v>
      </c>
    </row>
    <row r="275" spans="1:18" x14ac:dyDescent="0.25">
      <c r="B275" s="2" t="s">
        <v>344</v>
      </c>
      <c r="C275" s="27" t="s">
        <v>345</v>
      </c>
    </row>
    <row r="277" spans="1:18" ht="26.25" x14ac:dyDescent="0.4">
      <c r="A277" s="34" t="s">
        <v>3</v>
      </c>
      <c r="B277" s="34" t="s">
        <v>142</v>
      </c>
      <c r="C277" s="1" t="s">
        <v>409</v>
      </c>
    </row>
    <row r="278" spans="1:18" x14ac:dyDescent="0.25">
      <c r="B278" s="112" t="s">
        <v>398</v>
      </c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</row>
    <row r="279" spans="1:18" x14ac:dyDescent="0.25">
      <c r="B279" s="2" t="s">
        <v>6</v>
      </c>
      <c r="C279" s="3" t="s">
        <v>67</v>
      </c>
      <c r="D279" s="100" t="s">
        <v>8</v>
      </c>
      <c r="E279" s="5" t="s">
        <v>9</v>
      </c>
      <c r="F279" s="5" t="s">
        <v>14</v>
      </c>
      <c r="G279" s="5" t="s">
        <v>10</v>
      </c>
      <c r="H279" s="5" t="s">
        <v>11</v>
      </c>
      <c r="I279" s="5" t="s">
        <v>148</v>
      </c>
      <c r="J279" s="5" t="s">
        <v>149</v>
      </c>
      <c r="K279" s="5" t="s">
        <v>12</v>
      </c>
      <c r="L279" s="5" t="s">
        <v>13</v>
      </c>
      <c r="M279" s="5" t="s">
        <v>40</v>
      </c>
      <c r="N279" s="5" t="s">
        <v>14</v>
      </c>
      <c r="O279" s="5" t="s">
        <v>15</v>
      </c>
      <c r="P279" s="5" t="s">
        <v>16</v>
      </c>
      <c r="Q279" s="5" t="s">
        <v>17</v>
      </c>
      <c r="R279" s="5" t="s">
        <v>18</v>
      </c>
    </row>
    <row r="280" spans="1:18" x14ac:dyDescent="0.25">
      <c r="B280" s="2" t="s">
        <v>19</v>
      </c>
      <c r="C280" s="15" t="s">
        <v>68</v>
      </c>
      <c r="D280" s="7">
        <v>118.47</v>
      </c>
      <c r="E280" s="95" t="s">
        <v>95</v>
      </c>
      <c r="F280" s="43">
        <v>0.12</v>
      </c>
      <c r="G280" s="35" t="s">
        <v>99</v>
      </c>
      <c r="H280" s="51">
        <v>1.47</v>
      </c>
      <c r="I280" s="51">
        <f>+IF(F280=0%,D280*H280,0)</f>
        <v>0</v>
      </c>
      <c r="J280" s="51">
        <f>+IF(F280=12%,D280*H280,0)</f>
        <v>174.15090000000001</v>
      </c>
      <c r="K280" s="52">
        <v>0</v>
      </c>
      <c r="L280" s="53">
        <v>0</v>
      </c>
      <c r="M280" s="53">
        <f>+J280*K280</f>
        <v>0</v>
      </c>
      <c r="N280" s="53">
        <f>+(J280-M280)*F280</f>
        <v>20.898108000000001</v>
      </c>
      <c r="O280" s="53">
        <f>+J280-M280+N280</f>
        <v>195.04900800000001</v>
      </c>
      <c r="P280" s="7" t="s">
        <v>45</v>
      </c>
      <c r="Q280" s="7" t="s">
        <v>46</v>
      </c>
      <c r="R280" s="7" t="s">
        <v>45</v>
      </c>
    </row>
    <row r="281" spans="1:18" x14ac:dyDescent="0.25">
      <c r="B281" s="2" t="s">
        <v>21</v>
      </c>
      <c r="C281" s="15" t="s">
        <v>22</v>
      </c>
      <c r="D281" s="7">
        <v>249.58</v>
      </c>
      <c r="E281" s="95" t="s">
        <v>96</v>
      </c>
      <c r="F281" s="43">
        <v>0.12</v>
      </c>
      <c r="G281" s="35" t="s">
        <v>100</v>
      </c>
      <c r="H281" s="51">
        <v>2.96</v>
      </c>
      <c r="I281" s="51">
        <f>+IF(F281=0%,D281*H281,0)</f>
        <v>0</v>
      </c>
      <c r="J281" s="51">
        <f>+IF(F281=12%,D281*H281,0)</f>
        <v>738.7568</v>
      </c>
      <c r="K281" s="52">
        <v>0</v>
      </c>
      <c r="L281" s="53">
        <v>0</v>
      </c>
      <c r="M281" s="53">
        <f>+J281*K281</f>
        <v>0</v>
      </c>
      <c r="N281" s="53">
        <f>+(J281-M281)*F281</f>
        <v>88.650815999999992</v>
      </c>
      <c r="O281" s="53">
        <f>+J281-M281+N281</f>
        <v>827.40761599999996</v>
      </c>
      <c r="P281" s="7" t="s">
        <v>45</v>
      </c>
      <c r="Q281" s="95" t="s">
        <v>46</v>
      </c>
      <c r="R281" s="7" t="s">
        <v>45</v>
      </c>
    </row>
    <row r="282" spans="1:18" ht="30" x14ac:dyDescent="0.25">
      <c r="B282" s="2" t="s">
        <v>23</v>
      </c>
      <c r="C282" s="30" t="s">
        <v>70</v>
      </c>
      <c r="D282" s="7">
        <v>73.540000000000006</v>
      </c>
      <c r="E282" s="95" t="s">
        <v>97</v>
      </c>
      <c r="F282" s="43">
        <v>0.12</v>
      </c>
      <c r="G282" s="35" t="s">
        <v>101</v>
      </c>
      <c r="H282" s="51">
        <v>3.15</v>
      </c>
      <c r="I282" s="51">
        <f>+IF(F282=0%,D282*H282,0)</f>
        <v>0</v>
      </c>
      <c r="J282" s="51">
        <f>+IF(F282=12%,D282*H282,0)</f>
        <v>231.65100000000001</v>
      </c>
      <c r="K282" s="52">
        <v>0</v>
      </c>
      <c r="L282" s="53">
        <v>0</v>
      </c>
      <c r="M282" s="53">
        <f>+J282*K282</f>
        <v>0</v>
      </c>
      <c r="N282" s="53">
        <f>+(J282-M282)*F282</f>
        <v>27.798120000000001</v>
      </c>
      <c r="O282" s="53">
        <f>+J282-M282+N282</f>
        <v>259.44911999999999</v>
      </c>
      <c r="P282" s="7" t="s">
        <v>45</v>
      </c>
      <c r="Q282" s="95" t="s">
        <v>46</v>
      </c>
      <c r="R282" s="7" t="s">
        <v>45</v>
      </c>
    </row>
    <row r="283" spans="1:18" x14ac:dyDescent="0.25">
      <c r="B283" s="2" t="s">
        <v>26</v>
      </c>
      <c r="C283" s="12" t="s">
        <v>71</v>
      </c>
      <c r="D283" s="7">
        <v>29</v>
      </c>
      <c r="E283" s="95" t="s">
        <v>98</v>
      </c>
      <c r="F283" s="43">
        <v>0.12</v>
      </c>
      <c r="G283" s="35" t="s">
        <v>102</v>
      </c>
      <c r="H283" s="51">
        <v>1.25</v>
      </c>
      <c r="I283" s="51">
        <f>+IF(F283=0%,D283*H283,0)</f>
        <v>0</v>
      </c>
      <c r="J283" s="51">
        <f>+IF(F283=12%,D283*H283,0)</f>
        <v>36.25</v>
      </c>
      <c r="K283" s="52">
        <v>0</v>
      </c>
      <c r="L283" s="53">
        <v>0</v>
      </c>
      <c r="M283" s="53">
        <f>+J283*K283</f>
        <v>0</v>
      </c>
      <c r="N283" s="53">
        <f>+(J283-M283)*F283</f>
        <v>4.3499999999999996</v>
      </c>
      <c r="O283" s="53">
        <f>+J283-M283+N283</f>
        <v>40.6</v>
      </c>
      <c r="P283" s="7" t="s">
        <v>45</v>
      </c>
      <c r="Q283" s="95" t="s">
        <v>46</v>
      </c>
      <c r="R283" s="7" t="s">
        <v>45</v>
      </c>
    </row>
    <row r="284" spans="1:18" x14ac:dyDescent="0.25">
      <c r="B284" s="2" t="s">
        <v>27</v>
      </c>
      <c r="C284" s="3" t="s">
        <v>28</v>
      </c>
      <c r="D284" s="97"/>
      <c r="E284" s="95"/>
      <c r="F284" s="95"/>
      <c r="G284" s="95"/>
      <c r="H284" s="10"/>
      <c r="I284" s="10"/>
      <c r="J284" s="10"/>
      <c r="K284" s="10"/>
      <c r="L284" s="95"/>
      <c r="M284" s="10"/>
      <c r="N284" s="10"/>
      <c r="O284" s="11"/>
      <c r="P284" s="7"/>
      <c r="Q284" s="95"/>
      <c r="R284" s="7"/>
    </row>
    <row r="285" spans="1:18" ht="15.75" thickBot="1" x14ac:dyDescent="0.3">
      <c r="B285" s="2" t="s">
        <v>29</v>
      </c>
      <c r="C285" s="3">
        <v>1</v>
      </c>
      <c r="D285" s="97"/>
      <c r="E285" s="95"/>
      <c r="F285" s="95"/>
      <c r="G285" s="95"/>
      <c r="H285" s="10"/>
      <c r="I285" s="10"/>
      <c r="J285" s="10"/>
      <c r="K285" s="10"/>
      <c r="L285" s="95"/>
      <c r="M285" s="10"/>
      <c r="N285" s="10"/>
      <c r="O285" s="11"/>
      <c r="P285" s="95"/>
      <c r="Q285" s="95"/>
      <c r="R285" s="7"/>
    </row>
    <row r="286" spans="1:18" ht="15.75" thickBot="1" x14ac:dyDescent="0.3">
      <c r="B286" s="2" t="s">
        <v>30</v>
      </c>
      <c r="C286" s="7">
        <v>1122728319</v>
      </c>
      <c r="D286" s="16" t="s">
        <v>34</v>
      </c>
      <c r="E286" s="40">
        <f>+SUM(I280:I283)</f>
        <v>0</v>
      </c>
    </row>
    <row r="287" spans="1:18" ht="15.75" thickBot="1" x14ac:dyDescent="0.3">
      <c r="B287" s="2" t="s">
        <v>31</v>
      </c>
      <c r="C287" s="14">
        <v>43514</v>
      </c>
      <c r="D287" s="16" t="s">
        <v>36</v>
      </c>
      <c r="E287" s="17">
        <f>+SUM(J280:J285)</f>
        <v>1180.8087</v>
      </c>
    </row>
    <row r="288" spans="1:18" ht="15.75" thickBot="1" x14ac:dyDescent="0.3">
      <c r="B288" s="2" t="s">
        <v>32</v>
      </c>
      <c r="C288" s="15" t="s">
        <v>33</v>
      </c>
      <c r="D288" s="16" t="s">
        <v>39</v>
      </c>
      <c r="E288" s="17">
        <f>SUM(M280:M285)</f>
        <v>0</v>
      </c>
    </row>
    <row r="289" spans="2:15" ht="15.75" thickBot="1" x14ac:dyDescent="0.3">
      <c r="B289" s="2" t="s">
        <v>35</v>
      </c>
      <c r="C289" s="15" t="s">
        <v>33</v>
      </c>
      <c r="D289" s="16" t="s">
        <v>14</v>
      </c>
      <c r="E289" s="17">
        <f>SUM(N280:N285)</f>
        <v>141.69704400000001</v>
      </c>
    </row>
    <row r="290" spans="2:15" ht="15.75" thickBot="1" x14ac:dyDescent="0.3">
      <c r="B290" s="2" t="s">
        <v>37</v>
      </c>
      <c r="C290" s="15" t="s">
        <v>250</v>
      </c>
      <c r="D290" s="16" t="s">
        <v>15</v>
      </c>
      <c r="E290" s="17">
        <f>SUM(O280:O285)</f>
        <v>1322.5057439999998</v>
      </c>
    </row>
    <row r="291" spans="2:15" x14ac:dyDescent="0.25">
      <c r="B291" s="18"/>
      <c r="C291" s="18"/>
    </row>
    <row r="293" spans="2:15" x14ac:dyDescent="0.25">
      <c r="B293" s="114" t="s">
        <v>457</v>
      </c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</row>
    <row r="294" spans="2:15" x14ac:dyDescent="0.25">
      <c r="B294" s="2" t="s">
        <v>57</v>
      </c>
      <c r="C294" s="21" t="str">
        <f>+C288</f>
        <v>001</v>
      </c>
    </row>
    <row r="295" spans="2:15" x14ac:dyDescent="0.25">
      <c r="B295" s="2" t="s">
        <v>86</v>
      </c>
      <c r="C295" s="21" t="s">
        <v>143</v>
      </c>
      <c r="E295" s="31" t="s">
        <v>279</v>
      </c>
    </row>
    <row r="296" spans="2:15" x14ac:dyDescent="0.25">
      <c r="B296" s="2" t="s">
        <v>58</v>
      </c>
      <c r="C296" s="21" t="s">
        <v>73</v>
      </c>
      <c r="E296" s="31" t="s">
        <v>330</v>
      </c>
    </row>
    <row r="297" spans="2:15" x14ac:dyDescent="0.25">
      <c r="B297" s="2" t="s">
        <v>60</v>
      </c>
      <c r="C297" s="21" t="s">
        <v>74</v>
      </c>
      <c r="D297" s="95" t="s">
        <v>154</v>
      </c>
    </row>
    <row r="298" spans="2:15" x14ac:dyDescent="0.25">
      <c r="B298" s="2" t="s">
        <v>61</v>
      </c>
      <c r="C298" s="89">
        <f>+(E290)*D298</f>
        <v>396.75172319999996</v>
      </c>
      <c r="D298" s="43">
        <v>0.3</v>
      </c>
    </row>
    <row r="299" spans="2:15" x14ac:dyDescent="0.25">
      <c r="B299" s="2" t="s">
        <v>60</v>
      </c>
      <c r="C299" s="21" t="s">
        <v>75</v>
      </c>
      <c r="D299" s="95" t="s">
        <v>154</v>
      </c>
    </row>
    <row r="300" spans="2:15" x14ac:dyDescent="0.25">
      <c r="B300" s="2" t="s">
        <v>61</v>
      </c>
      <c r="C300" s="89">
        <f>+(E290)*D300</f>
        <v>396.75172319999996</v>
      </c>
      <c r="D300" s="43">
        <v>0.3</v>
      </c>
      <c r="E300" s="28"/>
      <c r="F300" s="28"/>
      <c r="H300" s="23"/>
      <c r="I300" s="23"/>
      <c r="J300" s="24"/>
      <c r="K300" s="24"/>
      <c r="L300" s="25"/>
      <c r="M300" s="26"/>
      <c r="N300" s="22"/>
      <c r="O300" s="22"/>
    </row>
    <row r="301" spans="2:15" x14ac:dyDescent="0.25">
      <c r="B301" s="2" t="s">
        <v>58</v>
      </c>
      <c r="C301" s="21" t="s">
        <v>76</v>
      </c>
      <c r="D301" s="95"/>
    </row>
    <row r="302" spans="2:15" x14ac:dyDescent="0.25">
      <c r="B302" s="2" t="s">
        <v>60</v>
      </c>
      <c r="C302" s="21" t="s">
        <v>89</v>
      </c>
      <c r="D302" s="95" t="s">
        <v>154</v>
      </c>
    </row>
    <row r="303" spans="2:15" x14ac:dyDescent="0.25">
      <c r="B303" s="2" t="s">
        <v>61</v>
      </c>
      <c r="C303" s="89">
        <f>+(E290)*D303</f>
        <v>529.00229759999991</v>
      </c>
      <c r="D303" s="43">
        <v>0.4</v>
      </c>
    </row>
    <row r="304" spans="2:15" x14ac:dyDescent="0.25">
      <c r="B304" s="2" t="s">
        <v>344</v>
      </c>
      <c r="C304" s="27" t="s">
        <v>345</v>
      </c>
    </row>
    <row r="305" spans="1:18" x14ac:dyDescent="0.25">
      <c r="C305" s="36"/>
    </row>
    <row r="306" spans="1:18" ht="26.25" x14ac:dyDescent="0.4">
      <c r="A306" s="34" t="s">
        <v>3</v>
      </c>
      <c r="B306" s="34" t="s">
        <v>145</v>
      </c>
      <c r="C306" s="1" t="s">
        <v>410</v>
      </c>
    </row>
    <row r="307" spans="1:18" x14ac:dyDescent="0.25">
      <c r="B307" s="112" t="s">
        <v>398</v>
      </c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</row>
    <row r="308" spans="1:18" x14ac:dyDescent="0.25">
      <c r="B308" s="2" t="s">
        <v>6</v>
      </c>
      <c r="C308" s="3" t="s">
        <v>67</v>
      </c>
      <c r="D308" s="100" t="s">
        <v>8</v>
      </c>
      <c r="E308" s="5" t="s">
        <v>9</v>
      </c>
      <c r="F308" s="5" t="s">
        <v>14</v>
      </c>
      <c r="G308" s="5" t="s">
        <v>10</v>
      </c>
      <c r="H308" s="5" t="s">
        <v>11</v>
      </c>
      <c r="I308" s="5" t="s">
        <v>148</v>
      </c>
      <c r="J308" s="5" t="s">
        <v>149</v>
      </c>
      <c r="K308" s="5" t="s">
        <v>12</v>
      </c>
      <c r="L308" s="5" t="s">
        <v>13</v>
      </c>
      <c r="M308" s="5" t="s">
        <v>40</v>
      </c>
      <c r="N308" s="5" t="s">
        <v>14</v>
      </c>
      <c r="O308" s="5" t="s">
        <v>15</v>
      </c>
      <c r="P308" s="5" t="s">
        <v>16</v>
      </c>
      <c r="Q308" s="5" t="s">
        <v>17</v>
      </c>
      <c r="R308" s="5" t="s">
        <v>18</v>
      </c>
    </row>
    <row r="309" spans="1:18" x14ac:dyDescent="0.25">
      <c r="B309" s="2" t="s">
        <v>19</v>
      </c>
      <c r="C309" s="15" t="s">
        <v>68</v>
      </c>
      <c r="D309" s="7">
        <v>118.47</v>
      </c>
      <c r="E309" s="95" t="s">
        <v>95</v>
      </c>
      <c r="F309" s="43">
        <v>0.12</v>
      </c>
      <c r="G309" s="35" t="s">
        <v>99</v>
      </c>
      <c r="H309" s="51">
        <v>1.47</v>
      </c>
      <c r="I309" s="51">
        <f>+IF(F309=0%,D309*H309,0)</f>
        <v>0</v>
      </c>
      <c r="J309" s="51">
        <f>+IF(F309=12%,D309*H309,0)</f>
        <v>174.15090000000001</v>
      </c>
      <c r="K309" s="52">
        <v>0</v>
      </c>
      <c r="L309" s="53">
        <v>0</v>
      </c>
      <c r="M309" s="53">
        <f>+J309*K309</f>
        <v>0</v>
      </c>
      <c r="N309" s="53">
        <f>+(J309-M309)*F309</f>
        <v>20.898108000000001</v>
      </c>
      <c r="O309" s="53">
        <f>+J309-M309+N309</f>
        <v>195.04900800000001</v>
      </c>
      <c r="P309" s="7" t="s">
        <v>45</v>
      </c>
      <c r="Q309" s="7" t="s">
        <v>46</v>
      </c>
      <c r="R309" s="7" t="s">
        <v>45</v>
      </c>
    </row>
    <row r="310" spans="1:18" x14ac:dyDescent="0.25">
      <c r="B310" s="2" t="s">
        <v>21</v>
      </c>
      <c r="C310" s="15" t="s">
        <v>22</v>
      </c>
      <c r="D310" s="7">
        <v>249.58</v>
      </c>
      <c r="E310" s="95" t="s">
        <v>96</v>
      </c>
      <c r="F310" s="43">
        <v>0.12</v>
      </c>
      <c r="G310" s="35" t="s">
        <v>100</v>
      </c>
      <c r="H310" s="51">
        <v>2.96</v>
      </c>
      <c r="I310" s="51">
        <f>+IF(F310=0%,D310*H310,0)</f>
        <v>0</v>
      </c>
      <c r="J310" s="51">
        <f>+IF(F310=12%,D310*H310,0)</f>
        <v>738.7568</v>
      </c>
      <c r="K310" s="52">
        <v>0</v>
      </c>
      <c r="L310" s="53">
        <v>0</v>
      </c>
      <c r="M310" s="53">
        <f>+J310*K310</f>
        <v>0</v>
      </c>
      <c r="N310" s="53">
        <f>+(J310-M310)*F310</f>
        <v>88.650815999999992</v>
      </c>
      <c r="O310" s="53">
        <f>+J310-M310+N310</f>
        <v>827.40761599999996</v>
      </c>
      <c r="P310" s="7" t="s">
        <v>45</v>
      </c>
      <c r="Q310" s="95" t="s">
        <v>46</v>
      </c>
      <c r="R310" s="7" t="s">
        <v>45</v>
      </c>
    </row>
    <row r="311" spans="1:18" ht="30" x14ac:dyDescent="0.25">
      <c r="B311" s="2" t="s">
        <v>23</v>
      </c>
      <c r="C311" s="30" t="s">
        <v>70</v>
      </c>
      <c r="D311" s="7">
        <v>73.540000000000006</v>
      </c>
      <c r="E311" s="95" t="s">
        <v>97</v>
      </c>
      <c r="F311" s="43">
        <v>0.12</v>
      </c>
      <c r="G311" s="35" t="s">
        <v>101</v>
      </c>
      <c r="H311" s="51">
        <v>3.15</v>
      </c>
      <c r="I311" s="51">
        <f>+IF(F311=0%,D311*H311,0)</f>
        <v>0</v>
      </c>
      <c r="J311" s="51">
        <f>+IF(F311=12%,D311*H311,0)</f>
        <v>231.65100000000001</v>
      </c>
      <c r="K311" s="52">
        <v>0</v>
      </c>
      <c r="L311" s="53">
        <v>0</v>
      </c>
      <c r="M311" s="53">
        <f>+J311*K311</f>
        <v>0</v>
      </c>
      <c r="N311" s="53">
        <f>+(J311-M311)*F311</f>
        <v>27.798120000000001</v>
      </c>
      <c r="O311" s="53">
        <f>+J311-M311+N311</f>
        <v>259.44911999999999</v>
      </c>
      <c r="P311" s="7" t="s">
        <v>45</v>
      </c>
      <c r="Q311" s="95" t="s">
        <v>46</v>
      </c>
      <c r="R311" s="7" t="s">
        <v>45</v>
      </c>
    </row>
    <row r="312" spans="1:18" x14ac:dyDescent="0.25">
      <c r="B312" s="2" t="s">
        <v>26</v>
      </c>
      <c r="C312" s="12" t="s">
        <v>71</v>
      </c>
      <c r="D312" s="7">
        <v>29</v>
      </c>
      <c r="E312" s="95" t="s">
        <v>98</v>
      </c>
      <c r="F312" s="43">
        <v>0.12</v>
      </c>
      <c r="G312" s="35" t="s">
        <v>102</v>
      </c>
      <c r="H312" s="51">
        <v>1.25</v>
      </c>
      <c r="I312" s="51">
        <f>+IF(F312=0%,D312*H312,0)</f>
        <v>0</v>
      </c>
      <c r="J312" s="51">
        <f>+IF(F312=12%,D312*H312,0)</f>
        <v>36.25</v>
      </c>
      <c r="K312" s="52">
        <v>0</v>
      </c>
      <c r="L312" s="53">
        <v>0</v>
      </c>
      <c r="M312" s="53">
        <f>+J312*K312</f>
        <v>0</v>
      </c>
      <c r="N312" s="53">
        <f>+(J312-M312)*F312</f>
        <v>4.3499999999999996</v>
      </c>
      <c r="O312" s="53">
        <f>+J312-M312+N312</f>
        <v>40.6</v>
      </c>
      <c r="P312" s="7" t="s">
        <v>45</v>
      </c>
      <c r="Q312" s="95" t="s">
        <v>46</v>
      </c>
      <c r="R312" s="7" t="s">
        <v>45</v>
      </c>
    </row>
    <row r="313" spans="1:18" x14ac:dyDescent="0.25">
      <c r="B313" s="2" t="s">
        <v>27</v>
      </c>
      <c r="C313" s="3" t="s">
        <v>28</v>
      </c>
      <c r="D313" s="97"/>
      <c r="E313" s="95"/>
      <c r="F313" s="95"/>
      <c r="G313" s="95"/>
      <c r="H313" s="10"/>
      <c r="I313" s="10"/>
      <c r="J313" s="10"/>
      <c r="K313" s="10"/>
      <c r="L313" s="95"/>
      <c r="M313" s="10"/>
      <c r="N313" s="10"/>
      <c r="O313" s="11"/>
      <c r="P313" s="7"/>
      <c r="Q313" s="95"/>
      <c r="R313" s="7"/>
    </row>
    <row r="314" spans="1:18" ht="15.75" thickBot="1" x14ac:dyDescent="0.3">
      <c r="B314" s="2" t="s">
        <v>29</v>
      </c>
      <c r="C314" s="3">
        <v>1</v>
      </c>
      <c r="D314" s="97"/>
      <c r="E314" s="95"/>
      <c r="F314" s="95"/>
      <c r="G314" s="95"/>
      <c r="H314" s="10"/>
      <c r="I314" s="10"/>
      <c r="J314" s="10"/>
      <c r="K314" s="10"/>
      <c r="L314" s="95"/>
      <c r="M314" s="10"/>
      <c r="N314" s="10"/>
      <c r="O314" s="11"/>
      <c r="P314" s="95"/>
      <c r="Q314" s="95"/>
      <c r="R314" s="7"/>
    </row>
    <row r="315" spans="1:18" ht="15.75" thickBot="1" x14ac:dyDescent="0.3">
      <c r="B315" s="2" t="s">
        <v>30</v>
      </c>
      <c r="C315" s="7">
        <v>1122728319</v>
      </c>
      <c r="D315" s="16" t="s">
        <v>34</v>
      </c>
      <c r="E315" s="40">
        <f>+SUM(I309:I312)</f>
        <v>0</v>
      </c>
    </row>
    <row r="316" spans="1:18" ht="15.75" thickBot="1" x14ac:dyDescent="0.3">
      <c r="B316" s="2" t="s">
        <v>31</v>
      </c>
      <c r="C316" s="14">
        <v>43514</v>
      </c>
      <c r="D316" s="16" t="s">
        <v>36</v>
      </c>
      <c r="E316" s="17">
        <f>+SUM(J309:J314)</f>
        <v>1180.8087</v>
      </c>
    </row>
    <row r="317" spans="1:18" ht="15.75" thickBot="1" x14ac:dyDescent="0.3">
      <c r="B317" s="2" t="s">
        <v>32</v>
      </c>
      <c r="C317" s="15" t="s">
        <v>33</v>
      </c>
      <c r="D317" s="16" t="s">
        <v>39</v>
      </c>
      <c r="E317" s="17">
        <f>SUM(M309:M314)</f>
        <v>0</v>
      </c>
    </row>
    <row r="318" spans="1:18" ht="15.75" thickBot="1" x14ac:dyDescent="0.3">
      <c r="B318" s="2" t="s">
        <v>35</v>
      </c>
      <c r="C318" s="15" t="s">
        <v>33</v>
      </c>
      <c r="D318" s="16" t="s">
        <v>14</v>
      </c>
      <c r="E318" s="17">
        <f>SUM(N309:N314)</f>
        <v>141.69704400000001</v>
      </c>
    </row>
    <row r="319" spans="1:18" ht="15.75" thickBot="1" x14ac:dyDescent="0.3">
      <c r="B319" s="2" t="s">
        <v>37</v>
      </c>
      <c r="C319" s="15" t="s">
        <v>251</v>
      </c>
      <c r="D319" s="16" t="s">
        <v>15</v>
      </c>
      <c r="E319" s="17">
        <f>SUM(O309:O314)</f>
        <v>1322.5057439999998</v>
      </c>
    </row>
    <row r="320" spans="1:18" x14ac:dyDescent="0.25">
      <c r="B320" s="2" t="s">
        <v>344</v>
      </c>
      <c r="C320" s="27" t="s">
        <v>84</v>
      </c>
    </row>
    <row r="322" spans="1:18" x14ac:dyDescent="0.25">
      <c r="B322" s="114" t="s">
        <v>399</v>
      </c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</row>
    <row r="323" spans="1:18" x14ac:dyDescent="0.25">
      <c r="B323" s="2" t="s">
        <v>86</v>
      </c>
      <c r="C323" s="21" t="s">
        <v>143</v>
      </c>
    </row>
    <row r="324" spans="1:18" x14ac:dyDescent="0.25">
      <c r="B324" s="2" t="s">
        <v>58</v>
      </c>
      <c r="C324" s="21" t="s">
        <v>73</v>
      </c>
    </row>
    <row r="325" spans="1:18" x14ac:dyDescent="0.25">
      <c r="B325" s="2" t="s">
        <v>60</v>
      </c>
      <c r="C325" s="21" t="s">
        <v>74</v>
      </c>
      <c r="D325" s="95" t="s">
        <v>154</v>
      </c>
    </row>
    <row r="326" spans="1:18" x14ac:dyDescent="0.25">
      <c r="B326" s="2" t="s">
        <v>61</v>
      </c>
      <c r="C326" s="27">
        <f>+(E319)*D326</f>
        <v>793.50344639999992</v>
      </c>
      <c r="D326" s="43">
        <v>0.6</v>
      </c>
      <c r="E326" s="31" t="s">
        <v>279</v>
      </c>
    </row>
    <row r="327" spans="1:18" x14ac:dyDescent="0.25">
      <c r="B327" s="2" t="s">
        <v>147</v>
      </c>
      <c r="C327" s="21" t="s">
        <v>84</v>
      </c>
      <c r="E327" s="110" t="s">
        <v>330</v>
      </c>
    </row>
    <row r="328" spans="1:18" x14ac:dyDescent="0.25">
      <c r="B328" s="2" t="s">
        <v>60</v>
      </c>
      <c r="C328" s="21" t="s">
        <v>85</v>
      </c>
      <c r="D328" s="95" t="s">
        <v>154</v>
      </c>
    </row>
    <row r="329" spans="1:18" x14ac:dyDescent="0.25">
      <c r="B329" s="2" t="s">
        <v>61</v>
      </c>
      <c r="C329" s="27">
        <f>+(E319)*D329</f>
        <v>529.00229759999991</v>
      </c>
      <c r="D329" s="43">
        <v>0.4</v>
      </c>
    </row>
    <row r="331" spans="1:18" s="71" customFormat="1" x14ac:dyDescent="0.25"/>
    <row r="332" spans="1:18" ht="26.25" x14ac:dyDescent="0.4">
      <c r="A332" s="34" t="s">
        <v>212</v>
      </c>
      <c r="B332" s="34" t="s">
        <v>92</v>
      </c>
      <c r="C332" s="1" t="s">
        <v>411</v>
      </c>
    </row>
    <row r="333" spans="1:18" x14ac:dyDescent="0.25">
      <c r="B333" s="112" t="s">
        <v>398</v>
      </c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</row>
    <row r="334" spans="1:18" x14ac:dyDescent="0.25">
      <c r="B334" s="2" t="s">
        <v>6</v>
      </c>
      <c r="C334" s="3" t="s">
        <v>77</v>
      </c>
      <c r="D334" s="100" t="s">
        <v>8</v>
      </c>
      <c r="E334" s="5" t="s">
        <v>9</v>
      </c>
      <c r="F334" s="5" t="s">
        <v>14</v>
      </c>
      <c r="G334" s="5" t="s">
        <v>10</v>
      </c>
      <c r="H334" s="5" t="s">
        <v>11</v>
      </c>
      <c r="I334" s="5" t="s">
        <v>148</v>
      </c>
      <c r="J334" s="5" t="s">
        <v>149</v>
      </c>
      <c r="K334" s="5" t="s">
        <v>12</v>
      </c>
      <c r="L334" s="5" t="s">
        <v>13</v>
      </c>
      <c r="M334" s="5" t="s">
        <v>40</v>
      </c>
      <c r="N334" s="5" t="s">
        <v>14</v>
      </c>
      <c r="O334" s="5" t="s">
        <v>15</v>
      </c>
      <c r="P334" s="5" t="s">
        <v>16</v>
      </c>
      <c r="Q334" s="5" t="s">
        <v>17</v>
      </c>
      <c r="R334" s="5" t="s">
        <v>18</v>
      </c>
    </row>
    <row r="335" spans="1:18" x14ac:dyDescent="0.25">
      <c r="B335" s="2" t="s">
        <v>19</v>
      </c>
      <c r="C335" s="15" t="s">
        <v>78</v>
      </c>
      <c r="D335" s="32">
        <v>15</v>
      </c>
      <c r="E335" s="95" t="s">
        <v>412</v>
      </c>
      <c r="F335" s="43">
        <v>0.12</v>
      </c>
      <c r="G335" s="7" t="s">
        <v>346</v>
      </c>
      <c r="H335" s="29">
        <v>2.9</v>
      </c>
      <c r="I335" s="51">
        <f>+IF(F335=0%,D335*H335,0)</f>
        <v>0</v>
      </c>
      <c r="J335" s="51">
        <f>+IF(F335=12%,D335*H335,0)</f>
        <v>43.5</v>
      </c>
      <c r="K335" s="52">
        <v>0</v>
      </c>
      <c r="L335" s="53">
        <v>0</v>
      </c>
      <c r="M335" s="53">
        <f>+J335*K335</f>
        <v>0</v>
      </c>
      <c r="N335" s="53">
        <f>+(J335-M335)*F335</f>
        <v>5.22</v>
      </c>
      <c r="O335" s="53">
        <f>+J335-M335+N335</f>
        <v>48.72</v>
      </c>
      <c r="P335" s="95" t="s">
        <v>80</v>
      </c>
      <c r="Q335" s="95" t="s">
        <v>81</v>
      </c>
      <c r="R335" s="7" t="s">
        <v>25</v>
      </c>
    </row>
    <row r="336" spans="1:18" x14ac:dyDescent="0.25">
      <c r="B336" s="2" t="s">
        <v>21</v>
      </c>
      <c r="C336" s="15" t="s">
        <v>22</v>
      </c>
      <c r="D336" s="32">
        <v>3</v>
      </c>
      <c r="E336" s="95" t="s">
        <v>413</v>
      </c>
      <c r="F336" s="43">
        <v>0.12</v>
      </c>
      <c r="G336" s="7" t="s">
        <v>347</v>
      </c>
      <c r="H336" s="29">
        <v>6</v>
      </c>
      <c r="I336" s="51">
        <f>+IF(F336=0%,D336*H336,0)</f>
        <v>0</v>
      </c>
      <c r="J336" s="51">
        <f>+IF(F336=12%,D336*H336,0)</f>
        <v>18</v>
      </c>
      <c r="K336" s="52">
        <v>0</v>
      </c>
      <c r="L336" s="53">
        <v>0</v>
      </c>
      <c r="M336" s="53">
        <f>+J336*K336</f>
        <v>0</v>
      </c>
      <c r="N336" s="53">
        <f>+(J336-M336)*F336</f>
        <v>2.16</v>
      </c>
      <c r="O336" s="53">
        <f>+J336-M336+N336</f>
        <v>20.16</v>
      </c>
      <c r="P336" s="95" t="s">
        <v>80</v>
      </c>
      <c r="Q336" s="95" t="s">
        <v>81</v>
      </c>
      <c r="R336" s="7" t="s">
        <v>25</v>
      </c>
    </row>
    <row r="337" spans="2:18" ht="30" x14ac:dyDescent="0.25">
      <c r="B337" s="2" t="s">
        <v>23</v>
      </c>
      <c r="C337" s="8" t="s">
        <v>24</v>
      </c>
      <c r="D337" s="32">
        <v>5</v>
      </c>
      <c r="E337" s="95" t="s">
        <v>414</v>
      </c>
      <c r="F337" s="43">
        <v>0.12</v>
      </c>
      <c r="G337" s="7" t="s">
        <v>348</v>
      </c>
      <c r="H337" s="29">
        <v>4</v>
      </c>
      <c r="I337" s="51">
        <f>+IF(F337=0%,D337*H337,0)</f>
        <v>0</v>
      </c>
      <c r="J337" s="51">
        <f>+IF(F337=12%,D337*H337,0)</f>
        <v>20</v>
      </c>
      <c r="K337" s="52">
        <v>0</v>
      </c>
      <c r="L337" s="53">
        <v>0</v>
      </c>
      <c r="M337" s="53">
        <f>+J337*K337</f>
        <v>0</v>
      </c>
      <c r="N337" s="53">
        <f>+(J337-M337)*F337</f>
        <v>2.4</v>
      </c>
      <c r="O337" s="53">
        <f>+J337-M337+N337</f>
        <v>22.4</v>
      </c>
      <c r="P337" s="95" t="s">
        <v>80</v>
      </c>
      <c r="Q337" s="95" t="s">
        <v>81</v>
      </c>
      <c r="R337" s="7" t="s">
        <v>25</v>
      </c>
    </row>
    <row r="338" spans="2:18" x14ac:dyDescent="0.25">
      <c r="B338" s="2" t="s">
        <v>26</v>
      </c>
      <c r="C338" s="12" t="s">
        <v>22</v>
      </c>
      <c r="D338" s="97"/>
      <c r="E338" s="95"/>
      <c r="F338" s="43"/>
      <c r="G338" s="7"/>
      <c r="H338" s="51"/>
      <c r="I338" s="51"/>
      <c r="J338" s="51"/>
      <c r="K338" s="52"/>
      <c r="L338" s="53"/>
      <c r="M338" s="53"/>
      <c r="N338" s="53"/>
      <c r="O338" s="53"/>
      <c r="P338" s="7"/>
      <c r="Q338" s="95"/>
      <c r="R338" s="7"/>
    </row>
    <row r="339" spans="2:18" x14ac:dyDescent="0.25">
      <c r="B339" s="2" t="s">
        <v>27</v>
      </c>
      <c r="C339" s="3" t="s">
        <v>28</v>
      </c>
      <c r="D339" s="95"/>
      <c r="E339" s="95"/>
      <c r="F339" s="95"/>
      <c r="G339" s="7"/>
      <c r="H339" s="10"/>
      <c r="I339" s="10"/>
      <c r="J339" s="10"/>
      <c r="K339" s="10"/>
      <c r="L339" s="95"/>
      <c r="M339" s="10"/>
      <c r="N339" s="10"/>
      <c r="O339" s="11"/>
      <c r="P339" s="7"/>
      <c r="Q339" s="95"/>
      <c r="R339" s="7"/>
    </row>
    <row r="340" spans="2:18" x14ac:dyDescent="0.25">
      <c r="B340" s="2" t="s">
        <v>29</v>
      </c>
      <c r="C340" s="3">
        <v>1</v>
      </c>
      <c r="D340" s="95"/>
      <c r="E340" s="95"/>
      <c r="F340" s="95"/>
      <c r="G340" s="95"/>
      <c r="H340" s="10"/>
      <c r="I340" s="10"/>
      <c r="J340" s="10"/>
      <c r="K340" s="10"/>
      <c r="L340" s="95"/>
      <c r="M340" s="10"/>
      <c r="N340" s="10"/>
      <c r="O340" s="11"/>
      <c r="P340" s="95"/>
      <c r="Q340" s="95"/>
      <c r="R340" s="7"/>
    </row>
    <row r="341" spans="2:18" ht="15.75" thickBot="1" x14ac:dyDescent="0.3">
      <c r="B341" s="2" t="s">
        <v>30</v>
      </c>
      <c r="C341" s="3">
        <v>1121355271</v>
      </c>
      <c r="D341" s="39" t="s">
        <v>148</v>
      </c>
      <c r="E341" s="49">
        <f>+SUM(I335:I338)</f>
        <v>0</v>
      </c>
      <c r="G341" s="23"/>
      <c r="H341" s="41"/>
      <c r="I341" s="41"/>
      <c r="J341" s="41"/>
      <c r="K341" s="41"/>
      <c r="L341" s="23"/>
      <c r="M341" s="41"/>
      <c r="N341" s="41"/>
      <c r="O341" s="42"/>
      <c r="P341" s="23"/>
      <c r="Q341" s="23"/>
      <c r="R341" s="22"/>
    </row>
    <row r="342" spans="2:18" ht="15.75" thickBot="1" x14ac:dyDescent="0.3">
      <c r="B342" s="2" t="s">
        <v>31</v>
      </c>
      <c r="C342" s="21">
        <v>43500</v>
      </c>
      <c r="D342" s="16" t="s">
        <v>36</v>
      </c>
      <c r="E342" s="50">
        <f>+SUM(J335:J340)</f>
        <v>81.5</v>
      </c>
      <c r="G342" s="23"/>
      <c r="H342" s="41"/>
      <c r="I342" s="41"/>
      <c r="J342" s="41"/>
      <c r="K342" s="41"/>
      <c r="L342" s="23"/>
      <c r="M342" s="41"/>
      <c r="N342" s="41"/>
      <c r="O342" s="42"/>
      <c r="P342" s="23"/>
      <c r="Q342" s="23"/>
      <c r="R342" s="22"/>
    </row>
    <row r="343" spans="2:18" ht="15.75" thickBot="1" x14ac:dyDescent="0.3">
      <c r="B343" s="2" t="s">
        <v>32</v>
      </c>
      <c r="C343" s="15" t="s">
        <v>33</v>
      </c>
      <c r="D343" s="16" t="s">
        <v>39</v>
      </c>
      <c r="E343" s="50">
        <f>SUM(M335:M340)</f>
        <v>0</v>
      </c>
    </row>
    <row r="344" spans="2:18" ht="15.75" thickBot="1" x14ac:dyDescent="0.3">
      <c r="B344" s="2" t="s">
        <v>35</v>
      </c>
      <c r="C344" s="15" t="s">
        <v>33</v>
      </c>
      <c r="D344" s="16" t="s">
        <v>14</v>
      </c>
      <c r="E344" s="50">
        <f>SUM(N335:N340)</f>
        <v>9.7799999999999994</v>
      </c>
    </row>
    <row r="345" spans="2:18" ht="15.75" thickBot="1" x14ac:dyDescent="0.3">
      <c r="B345" s="2" t="s">
        <v>37</v>
      </c>
      <c r="C345" s="15" t="s">
        <v>251</v>
      </c>
      <c r="D345" s="16" t="s">
        <v>15</v>
      </c>
      <c r="E345" s="50">
        <f>SUM(O335:O340)</f>
        <v>91.28</v>
      </c>
    </row>
    <row r="346" spans="2:18" x14ac:dyDescent="0.25">
      <c r="B346" s="18"/>
      <c r="C346" s="18"/>
    </row>
    <row r="347" spans="2:18" x14ac:dyDescent="0.25">
      <c r="B347" s="18"/>
      <c r="C347" s="18"/>
    </row>
    <row r="348" spans="2:18" x14ac:dyDescent="0.25">
      <c r="B348" s="114" t="s">
        <v>399</v>
      </c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</row>
    <row r="349" spans="2:18" x14ac:dyDescent="0.25">
      <c r="B349" s="2" t="s">
        <v>48</v>
      </c>
      <c r="C349" s="15" t="s">
        <v>33</v>
      </c>
      <c r="D349" s="19" t="s">
        <v>16</v>
      </c>
      <c r="E349" s="115" t="s">
        <v>152</v>
      </c>
      <c r="F349" s="116"/>
      <c r="G349" s="99" t="s">
        <v>150</v>
      </c>
      <c r="H349" s="117" t="s">
        <v>49</v>
      </c>
      <c r="I349" s="118"/>
      <c r="J349" s="117" t="s">
        <v>151</v>
      </c>
      <c r="K349" s="118"/>
      <c r="L349" s="5" t="s">
        <v>50</v>
      </c>
      <c r="M349" s="5" t="s">
        <v>51</v>
      </c>
      <c r="N349" s="117" t="s">
        <v>155</v>
      </c>
      <c r="O349" s="118"/>
    </row>
    <row r="350" spans="2:18" x14ac:dyDescent="0.25">
      <c r="B350" s="2" t="s">
        <v>52</v>
      </c>
      <c r="C350" s="15" t="s">
        <v>33</v>
      </c>
      <c r="D350" s="95" t="s">
        <v>166</v>
      </c>
      <c r="E350" s="119" t="s">
        <v>463</v>
      </c>
      <c r="F350" s="119"/>
      <c r="G350" s="96">
        <v>731</v>
      </c>
      <c r="H350" s="120" t="s">
        <v>14</v>
      </c>
      <c r="I350" s="121"/>
      <c r="J350" s="122">
        <v>1</v>
      </c>
      <c r="K350" s="123"/>
      <c r="L350" s="54">
        <f>+E344*J350</f>
        <v>9.7799999999999994</v>
      </c>
      <c r="M350" s="131">
        <f>+L350+L351</f>
        <v>10.594999999999999</v>
      </c>
      <c r="N350" s="133">
        <f>+E345-M350</f>
        <v>80.685000000000002</v>
      </c>
      <c r="O350" s="134"/>
    </row>
    <row r="351" spans="2:18" x14ac:dyDescent="0.25">
      <c r="B351" s="2" t="s">
        <v>53</v>
      </c>
      <c r="C351" s="15" t="s">
        <v>162</v>
      </c>
      <c r="D351" s="95" t="s">
        <v>165</v>
      </c>
      <c r="E351" s="119" t="s">
        <v>462</v>
      </c>
      <c r="F351" s="119"/>
      <c r="G351" s="96">
        <v>309</v>
      </c>
      <c r="H351" s="120" t="s">
        <v>153</v>
      </c>
      <c r="I351" s="121"/>
      <c r="J351" s="122">
        <v>0.01</v>
      </c>
      <c r="K351" s="123"/>
      <c r="L351" s="54">
        <f>(E342+E341-E343)*J351</f>
        <v>0.81500000000000006</v>
      </c>
      <c r="M351" s="132"/>
      <c r="N351" s="135"/>
      <c r="O351" s="136"/>
    </row>
    <row r="352" spans="2:18" x14ac:dyDescent="0.25">
      <c r="B352" s="2" t="s">
        <v>55</v>
      </c>
      <c r="C352" s="3" t="str">
        <f>+CONCATENATE(C342,"-",C343,"-",C344)</f>
        <v>43500-001-001</v>
      </c>
    </row>
    <row r="353" spans="1:18" x14ac:dyDescent="0.25">
      <c r="B353" s="2" t="s">
        <v>57</v>
      </c>
      <c r="C353" s="21">
        <f>+C342</f>
        <v>43500</v>
      </c>
    </row>
    <row r="354" spans="1:18" x14ac:dyDescent="0.25">
      <c r="B354" s="2" t="s">
        <v>86</v>
      </c>
      <c r="C354" s="21" t="s">
        <v>87</v>
      </c>
      <c r="D354" s="22"/>
      <c r="E354" s="28" t="s">
        <v>279</v>
      </c>
      <c r="F354" s="23"/>
      <c r="H354" s="23"/>
      <c r="I354" s="23"/>
      <c r="J354" s="24"/>
      <c r="K354" s="24"/>
      <c r="L354" s="25"/>
      <c r="M354" s="26"/>
      <c r="N354" s="22"/>
      <c r="O354" s="22"/>
    </row>
    <row r="355" spans="1:18" x14ac:dyDescent="0.25">
      <c r="B355" s="2" t="s">
        <v>59</v>
      </c>
      <c r="C355" s="21" t="s">
        <v>84</v>
      </c>
      <c r="D355" s="22"/>
      <c r="F355" s="23"/>
      <c r="H355" s="23"/>
      <c r="I355" s="23"/>
      <c r="J355" s="24"/>
      <c r="K355" s="24"/>
      <c r="L355" s="25"/>
      <c r="M355" s="26"/>
      <c r="N355" s="22"/>
      <c r="O355" s="22"/>
    </row>
    <row r="356" spans="1:18" x14ac:dyDescent="0.25">
      <c r="B356" s="2" t="s">
        <v>60</v>
      </c>
      <c r="C356" s="21" t="s">
        <v>85</v>
      </c>
      <c r="D356" s="22"/>
      <c r="E356" s="23"/>
      <c r="F356" s="23"/>
      <c r="H356" s="23"/>
      <c r="I356" s="23"/>
      <c r="J356" s="24"/>
      <c r="K356" s="24"/>
      <c r="L356" s="25"/>
      <c r="M356" s="26"/>
      <c r="N356" s="22"/>
      <c r="O356" s="22"/>
    </row>
    <row r="357" spans="1:18" x14ac:dyDescent="0.25">
      <c r="B357" s="2" t="s">
        <v>61</v>
      </c>
      <c r="C357" s="27">
        <f>+E345-M350</f>
        <v>80.685000000000002</v>
      </c>
      <c r="D357" s="22"/>
      <c r="E357" s="28"/>
      <c r="G357" s="23"/>
      <c r="H357" s="24"/>
      <c r="I357" s="24"/>
      <c r="J357" s="24"/>
      <c r="K357" s="25"/>
      <c r="L357" s="26"/>
      <c r="M357" s="22"/>
      <c r="N357" s="22"/>
    </row>
    <row r="360" spans="1:18" ht="26.25" x14ac:dyDescent="0.4">
      <c r="A360" s="34" t="s">
        <v>212</v>
      </c>
      <c r="B360" s="34" t="s">
        <v>93</v>
      </c>
      <c r="C360" s="1" t="s">
        <v>415</v>
      </c>
    </row>
    <row r="361" spans="1:18" x14ac:dyDescent="0.25">
      <c r="B361" s="112" t="s">
        <v>398</v>
      </c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</row>
    <row r="362" spans="1:18" x14ac:dyDescent="0.25">
      <c r="B362" s="2" t="s">
        <v>6</v>
      </c>
      <c r="C362" s="3" t="s">
        <v>77</v>
      </c>
      <c r="D362" s="100" t="s">
        <v>8</v>
      </c>
      <c r="E362" s="5" t="s">
        <v>9</v>
      </c>
      <c r="F362" s="5" t="s">
        <v>14</v>
      </c>
      <c r="G362" s="5" t="s">
        <v>10</v>
      </c>
      <c r="H362" s="5" t="s">
        <v>11</v>
      </c>
      <c r="I362" s="5" t="s">
        <v>148</v>
      </c>
      <c r="J362" s="5" t="s">
        <v>149</v>
      </c>
      <c r="K362" s="5" t="s">
        <v>12</v>
      </c>
      <c r="L362" s="5" t="s">
        <v>13</v>
      </c>
      <c r="M362" s="5" t="s">
        <v>40</v>
      </c>
      <c r="N362" s="5" t="s">
        <v>14</v>
      </c>
      <c r="O362" s="5" t="s">
        <v>15</v>
      </c>
      <c r="P362" s="5" t="s">
        <v>16</v>
      </c>
      <c r="Q362" s="5" t="s">
        <v>17</v>
      </c>
      <c r="R362" s="5" t="s">
        <v>18</v>
      </c>
    </row>
    <row r="363" spans="1:18" x14ac:dyDescent="0.25">
      <c r="B363" s="2" t="s">
        <v>19</v>
      </c>
      <c r="C363" s="15" t="s">
        <v>78</v>
      </c>
      <c r="D363" s="32">
        <v>24</v>
      </c>
      <c r="E363" s="95" t="s">
        <v>412</v>
      </c>
      <c r="F363" s="43">
        <v>0.12</v>
      </c>
      <c r="G363" s="7" t="s">
        <v>346</v>
      </c>
      <c r="H363" s="29">
        <v>3.1</v>
      </c>
      <c r="I363" s="51">
        <f>+IF(F363=0%,D363*H363,0)</f>
        <v>0</v>
      </c>
      <c r="J363" s="51">
        <f>+IF(F363=12%,D363*H363,0)</f>
        <v>74.400000000000006</v>
      </c>
      <c r="K363" s="52">
        <v>0</v>
      </c>
      <c r="L363" s="53">
        <v>0</v>
      </c>
      <c r="M363" s="53">
        <f>+J363*K363</f>
        <v>0</v>
      </c>
      <c r="N363" s="53">
        <f>+(J363-M363)*F363</f>
        <v>8.9280000000000008</v>
      </c>
      <c r="O363" s="53">
        <f>+J363-M363+N363</f>
        <v>83.328000000000003</v>
      </c>
      <c r="P363" s="95" t="s">
        <v>80</v>
      </c>
      <c r="Q363" s="95" t="s">
        <v>81</v>
      </c>
      <c r="R363" s="7" t="s">
        <v>25</v>
      </c>
    </row>
    <row r="364" spans="1:18" x14ac:dyDescent="0.25">
      <c r="B364" s="2" t="s">
        <v>21</v>
      </c>
      <c r="C364" s="15" t="s">
        <v>22</v>
      </c>
      <c r="D364" s="32">
        <v>18</v>
      </c>
      <c r="E364" s="95" t="s">
        <v>413</v>
      </c>
      <c r="F364" s="43">
        <v>0.12</v>
      </c>
      <c r="G364" s="7" t="s">
        <v>347</v>
      </c>
      <c r="H364" s="29">
        <v>22.57</v>
      </c>
      <c r="I364" s="51">
        <f>+IF(F364=0%,D364*H364,0)</f>
        <v>0</v>
      </c>
      <c r="J364" s="51">
        <f>+IF(F364=12%,D364*H364,0)</f>
        <v>406.26</v>
      </c>
      <c r="K364" s="52">
        <v>0</v>
      </c>
      <c r="L364" s="53">
        <v>0</v>
      </c>
      <c r="M364" s="53">
        <f>+J364*K364</f>
        <v>0</v>
      </c>
      <c r="N364" s="53">
        <f>+(J364-M364)*F364</f>
        <v>48.751199999999997</v>
      </c>
      <c r="O364" s="53">
        <f>+J364-M364+N364</f>
        <v>455.01119999999997</v>
      </c>
      <c r="P364" s="95" t="s">
        <v>80</v>
      </c>
      <c r="Q364" s="95" t="s">
        <v>81</v>
      </c>
      <c r="R364" s="7" t="s">
        <v>25</v>
      </c>
    </row>
    <row r="365" spans="1:18" ht="30" x14ac:dyDescent="0.25">
      <c r="B365" s="2" t="s">
        <v>23</v>
      </c>
      <c r="C365" s="8" t="s">
        <v>24</v>
      </c>
      <c r="D365" s="32">
        <v>120</v>
      </c>
      <c r="E365" s="95" t="s">
        <v>414</v>
      </c>
      <c r="F365" s="43">
        <v>0.12</v>
      </c>
      <c r="G365" s="7" t="s">
        <v>348</v>
      </c>
      <c r="H365" s="29">
        <v>2.99</v>
      </c>
      <c r="I365" s="51">
        <f>+IF(F365=0%,D365*H365,0)</f>
        <v>0</v>
      </c>
      <c r="J365" s="51">
        <f>+IF(F365=12%,D365*H365,0)</f>
        <v>358.8</v>
      </c>
      <c r="K365" s="52">
        <v>0</v>
      </c>
      <c r="L365" s="53">
        <v>0</v>
      </c>
      <c r="M365" s="53">
        <f>+J365*K365</f>
        <v>0</v>
      </c>
      <c r="N365" s="53">
        <f>+(J365-M365)*F365</f>
        <v>43.055999999999997</v>
      </c>
      <c r="O365" s="53">
        <f>+J365-M365+N365</f>
        <v>401.85599999999999</v>
      </c>
      <c r="P365" s="95" t="s">
        <v>80</v>
      </c>
      <c r="Q365" s="95" t="s">
        <v>81</v>
      </c>
      <c r="R365" s="7" t="s">
        <v>25</v>
      </c>
    </row>
    <row r="366" spans="1:18" x14ac:dyDescent="0.25">
      <c r="B366" s="2" t="s">
        <v>26</v>
      </c>
      <c r="C366" s="12" t="s">
        <v>22</v>
      </c>
      <c r="D366" s="97"/>
      <c r="E366" s="95"/>
      <c r="F366" s="43"/>
      <c r="G366" s="7"/>
      <c r="H366" s="51"/>
      <c r="I366" s="51"/>
      <c r="J366" s="51"/>
      <c r="K366" s="52"/>
      <c r="L366" s="53"/>
      <c r="M366" s="53"/>
      <c r="N366" s="53"/>
      <c r="O366" s="53"/>
      <c r="P366" s="7"/>
      <c r="Q366" s="95"/>
      <c r="R366" s="7"/>
    </row>
    <row r="367" spans="1:18" x14ac:dyDescent="0.25">
      <c r="B367" s="2" t="s">
        <v>27</v>
      </c>
      <c r="C367" s="3" t="s">
        <v>28</v>
      </c>
      <c r="D367" s="97"/>
      <c r="E367" s="95"/>
      <c r="F367" s="95"/>
      <c r="G367" s="95"/>
      <c r="H367" s="10"/>
      <c r="I367" s="10"/>
      <c r="J367" s="10"/>
      <c r="K367" s="10"/>
      <c r="L367" s="95"/>
      <c r="M367" s="10"/>
      <c r="N367" s="10"/>
      <c r="O367" s="11"/>
      <c r="P367" s="7"/>
      <c r="Q367" s="95"/>
      <c r="R367" s="7"/>
    </row>
    <row r="368" spans="1:18" x14ac:dyDescent="0.25">
      <c r="B368" s="2" t="s">
        <v>29</v>
      </c>
      <c r="C368" s="3">
        <v>1</v>
      </c>
      <c r="D368" s="97"/>
      <c r="E368" s="95"/>
      <c r="F368" s="95"/>
      <c r="G368" s="95"/>
      <c r="H368" s="10"/>
      <c r="I368" s="10"/>
      <c r="J368" s="10"/>
      <c r="K368" s="10"/>
      <c r="L368" s="95"/>
      <c r="M368" s="10"/>
      <c r="N368" s="10"/>
      <c r="O368" s="11"/>
      <c r="P368" s="95"/>
      <c r="Q368" s="95"/>
      <c r="R368" s="7"/>
    </row>
    <row r="369" spans="2:18" ht="15.75" thickBot="1" x14ac:dyDescent="0.3">
      <c r="B369" s="2" t="s">
        <v>30</v>
      </c>
      <c r="C369" s="3">
        <v>1121355271</v>
      </c>
      <c r="D369" s="39" t="s">
        <v>34</v>
      </c>
      <c r="E369" s="40">
        <f>+SUM(I363:I366)</f>
        <v>0</v>
      </c>
      <c r="F369" s="23"/>
      <c r="G369" s="23"/>
      <c r="H369" s="41"/>
      <c r="I369" s="41"/>
      <c r="J369" s="41"/>
      <c r="K369" s="41"/>
      <c r="L369" s="23"/>
      <c r="M369" s="41"/>
      <c r="N369" s="41"/>
      <c r="O369" s="42"/>
      <c r="P369" s="23"/>
      <c r="Q369" s="23"/>
      <c r="R369" s="22"/>
    </row>
    <row r="370" spans="2:18" ht="15.75" thickBot="1" x14ac:dyDescent="0.3">
      <c r="B370" s="2" t="s">
        <v>31</v>
      </c>
      <c r="C370" s="21">
        <v>43500</v>
      </c>
      <c r="D370" s="16" t="s">
        <v>36</v>
      </c>
      <c r="E370" s="17">
        <f>+SUM(J363:J368)</f>
        <v>839.46</v>
      </c>
      <c r="F370" s="23"/>
      <c r="G370" s="23"/>
      <c r="H370" s="41"/>
      <c r="I370" s="41"/>
      <c r="J370" s="41"/>
      <c r="K370" s="41"/>
      <c r="L370" s="23"/>
      <c r="M370" s="41"/>
      <c r="N370" s="41"/>
      <c r="O370" s="42"/>
      <c r="P370" s="23"/>
      <c r="Q370" s="23"/>
      <c r="R370" s="22"/>
    </row>
    <row r="371" spans="2:18" ht="15.75" thickBot="1" x14ac:dyDescent="0.3">
      <c r="B371" s="2" t="s">
        <v>32</v>
      </c>
      <c r="C371" s="15" t="s">
        <v>33</v>
      </c>
      <c r="D371" s="16" t="s">
        <v>39</v>
      </c>
      <c r="E371" s="17">
        <f>SUM(M363:M368)</f>
        <v>0</v>
      </c>
      <c r="F371" s="23"/>
    </row>
    <row r="372" spans="2:18" ht="15.75" thickBot="1" x14ac:dyDescent="0.3">
      <c r="B372" s="2" t="s">
        <v>35</v>
      </c>
      <c r="C372" s="15" t="s">
        <v>33</v>
      </c>
      <c r="D372" s="16" t="s">
        <v>14</v>
      </c>
      <c r="E372" s="17">
        <f>SUM(N363:N368)</f>
        <v>100.73519999999999</v>
      </c>
      <c r="F372" s="23"/>
    </row>
    <row r="373" spans="2:18" ht="15.75" thickBot="1" x14ac:dyDescent="0.3">
      <c r="B373" s="2" t="s">
        <v>37</v>
      </c>
      <c r="C373" s="15" t="s">
        <v>252</v>
      </c>
      <c r="D373" s="16" t="s">
        <v>15</v>
      </c>
      <c r="E373" s="17">
        <f>SUM(O363:O368)</f>
        <v>940.1952</v>
      </c>
      <c r="F373" s="23"/>
    </row>
    <row r="374" spans="2:18" x14ac:dyDescent="0.25">
      <c r="B374" s="18"/>
      <c r="C374" s="18"/>
    </row>
    <row r="375" spans="2:18" x14ac:dyDescent="0.25">
      <c r="B375" s="18"/>
      <c r="C375" s="18"/>
    </row>
    <row r="376" spans="2:18" x14ac:dyDescent="0.25">
      <c r="B376" s="114" t="s">
        <v>399</v>
      </c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</row>
    <row r="377" spans="2:18" x14ac:dyDescent="0.25">
      <c r="B377" s="2" t="s">
        <v>48</v>
      </c>
      <c r="C377" s="15" t="s">
        <v>33</v>
      </c>
      <c r="D377" s="19" t="s">
        <v>16</v>
      </c>
      <c r="E377" s="115" t="s">
        <v>152</v>
      </c>
      <c r="F377" s="116"/>
      <c r="G377" s="99" t="s">
        <v>150</v>
      </c>
      <c r="H377" s="117" t="s">
        <v>49</v>
      </c>
      <c r="I377" s="118"/>
      <c r="J377" s="117" t="s">
        <v>151</v>
      </c>
      <c r="K377" s="118"/>
      <c r="L377" s="5" t="s">
        <v>50</v>
      </c>
      <c r="M377" s="5" t="s">
        <v>51</v>
      </c>
      <c r="N377" s="117" t="s">
        <v>155</v>
      </c>
      <c r="O377" s="118"/>
    </row>
    <row r="378" spans="2:18" x14ac:dyDescent="0.25">
      <c r="B378" s="2" t="s">
        <v>52</v>
      </c>
      <c r="C378" s="15" t="s">
        <v>33</v>
      </c>
      <c r="D378" s="95" t="s">
        <v>169</v>
      </c>
      <c r="E378" s="119" t="s">
        <v>473</v>
      </c>
      <c r="F378" s="119"/>
      <c r="G378" s="96">
        <v>725</v>
      </c>
      <c r="H378" s="120" t="s">
        <v>14</v>
      </c>
      <c r="I378" s="121"/>
      <c r="J378" s="122">
        <v>0.3</v>
      </c>
      <c r="K378" s="123"/>
      <c r="L378" s="54">
        <f>+E372*J378</f>
        <v>30.220559999999995</v>
      </c>
      <c r="M378" s="131">
        <f>+L378+L379</f>
        <v>97.377359999999996</v>
      </c>
      <c r="N378" s="133">
        <f>+E373-M378</f>
        <v>842.81784000000005</v>
      </c>
      <c r="O378" s="134"/>
    </row>
    <row r="379" spans="2:18" x14ac:dyDescent="0.25">
      <c r="B379" s="2" t="s">
        <v>53</v>
      </c>
      <c r="C379" s="15" t="s">
        <v>54</v>
      </c>
      <c r="D379" s="95" t="s">
        <v>171</v>
      </c>
      <c r="E379" s="119" t="s">
        <v>467</v>
      </c>
      <c r="F379" s="119"/>
      <c r="G379" s="96">
        <v>320</v>
      </c>
      <c r="H379" s="120" t="s">
        <v>153</v>
      </c>
      <c r="I379" s="121"/>
      <c r="J379" s="122">
        <v>0.08</v>
      </c>
      <c r="K379" s="123"/>
      <c r="L379" s="54">
        <f>(E370+E369-E371)*J379</f>
        <v>67.156800000000004</v>
      </c>
      <c r="M379" s="132"/>
      <c r="N379" s="135"/>
      <c r="O379" s="136"/>
    </row>
    <row r="380" spans="2:18" x14ac:dyDescent="0.25">
      <c r="B380" s="2" t="s">
        <v>55</v>
      </c>
      <c r="C380" s="3" t="str">
        <f>+CONCATENATE(C370,"-",C371,"-",C372)</f>
        <v>43500-001-001</v>
      </c>
    </row>
    <row r="381" spans="2:18" x14ac:dyDescent="0.25">
      <c r="B381" s="2" t="s">
        <v>57</v>
      </c>
      <c r="C381" s="21">
        <f>+C370</f>
        <v>43500</v>
      </c>
      <c r="E381" s="31" t="s">
        <v>279</v>
      </c>
    </row>
    <row r="382" spans="2:18" x14ac:dyDescent="0.25">
      <c r="B382" s="2" t="s">
        <v>86</v>
      </c>
      <c r="C382" s="21" t="s">
        <v>87</v>
      </c>
      <c r="D382" s="22"/>
      <c r="E382" s="23"/>
      <c r="F382" s="23"/>
      <c r="G382" s="23"/>
      <c r="H382" s="23"/>
      <c r="I382" s="23"/>
      <c r="J382" s="24"/>
      <c r="K382" s="24"/>
      <c r="L382" s="25"/>
      <c r="M382" s="26"/>
      <c r="N382" s="22"/>
      <c r="O382" s="22"/>
    </row>
    <row r="383" spans="2:18" x14ac:dyDescent="0.25">
      <c r="B383" s="2" t="s">
        <v>59</v>
      </c>
      <c r="C383" s="21" t="s">
        <v>88</v>
      </c>
      <c r="D383" s="22"/>
      <c r="E383" s="23"/>
      <c r="F383" s="23"/>
      <c r="G383" s="23"/>
      <c r="H383" s="23"/>
      <c r="I383" s="23"/>
      <c r="J383" s="24"/>
      <c r="K383" s="24"/>
      <c r="L383" s="25"/>
      <c r="M383" s="26"/>
      <c r="N383" s="22"/>
      <c r="O383" s="22"/>
    </row>
    <row r="384" spans="2:18" x14ac:dyDescent="0.25">
      <c r="B384" s="2" t="s">
        <v>60</v>
      </c>
      <c r="C384" s="21" t="s">
        <v>89</v>
      </c>
      <c r="D384" s="22"/>
      <c r="E384" s="23"/>
      <c r="F384" s="23"/>
      <c r="G384" s="23"/>
      <c r="H384" s="23"/>
      <c r="I384" s="23"/>
      <c r="J384" s="24"/>
      <c r="K384" s="24"/>
      <c r="L384" s="25"/>
      <c r="M384" s="26"/>
      <c r="N384" s="22"/>
      <c r="O384" s="22"/>
    </row>
    <row r="385" spans="1:18" x14ac:dyDescent="0.25">
      <c r="B385" s="2" t="s">
        <v>61</v>
      </c>
      <c r="C385" s="27">
        <f>+E373-M378</f>
        <v>842.81784000000005</v>
      </c>
      <c r="D385" s="22"/>
      <c r="E385" s="28"/>
      <c r="G385" s="23"/>
      <c r="H385" s="23"/>
      <c r="I385" s="24"/>
      <c r="J385" s="24"/>
      <c r="K385" s="25"/>
      <c r="L385" s="26"/>
      <c r="M385" s="22"/>
      <c r="N385" s="22"/>
    </row>
    <row r="388" spans="1:18" ht="26.25" x14ac:dyDescent="0.4">
      <c r="A388" s="34" t="s">
        <v>212</v>
      </c>
      <c r="B388" s="34" t="s">
        <v>94</v>
      </c>
      <c r="C388" s="1" t="s">
        <v>416</v>
      </c>
    </row>
    <row r="389" spans="1:18" x14ac:dyDescent="0.25">
      <c r="B389" s="112" t="s">
        <v>398</v>
      </c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</row>
    <row r="390" spans="1:18" x14ac:dyDescent="0.25">
      <c r="B390" s="2" t="s">
        <v>6</v>
      </c>
      <c r="C390" s="3" t="s">
        <v>77</v>
      </c>
      <c r="D390" s="100" t="s">
        <v>8</v>
      </c>
      <c r="E390" s="5" t="s">
        <v>9</v>
      </c>
      <c r="F390" s="5" t="s">
        <v>14</v>
      </c>
      <c r="G390" s="5" t="s">
        <v>10</v>
      </c>
      <c r="H390" s="5" t="s">
        <v>11</v>
      </c>
      <c r="I390" s="5" t="s">
        <v>148</v>
      </c>
      <c r="J390" s="5" t="s">
        <v>149</v>
      </c>
      <c r="K390" s="5" t="s">
        <v>12</v>
      </c>
      <c r="L390" s="5" t="s">
        <v>13</v>
      </c>
      <c r="M390" s="5" t="s">
        <v>40</v>
      </c>
      <c r="N390" s="5" t="s">
        <v>14</v>
      </c>
      <c r="O390" s="5" t="s">
        <v>15</v>
      </c>
      <c r="P390" s="5" t="s">
        <v>16</v>
      </c>
      <c r="Q390" s="5" t="s">
        <v>17</v>
      </c>
      <c r="R390" s="5" t="s">
        <v>18</v>
      </c>
    </row>
    <row r="391" spans="1:18" x14ac:dyDescent="0.25">
      <c r="B391" s="2" t="s">
        <v>19</v>
      </c>
      <c r="C391" s="15" t="s">
        <v>78</v>
      </c>
      <c r="D391" s="32">
        <v>15</v>
      </c>
      <c r="E391" s="95" t="s">
        <v>412</v>
      </c>
      <c r="F391" s="43">
        <v>0.12</v>
      </c>
      <c r="G391" s="7" t="s">
        <v>346</v>
      </c>
      <c r="H391" s="29">
        <v>2.9</v>
      </c>
      <c r="I391" s="51">
        <f>+IF(F391=0%,D391*H391,0)</f>
        <v>0</v>
      </c>
      <c r="J391" s="51">
        <f>+IF(F391=12%,D391*H391,0)</f>
        <v>43.5</v>
      </c>
      <c r="K391" s="52">
        <v>0</v>
      </c>
      <c r="L391" s="53">
        <v>0</v>
      </c>
      <c r="M391" s="53">
        <f>+J391*K391</f>
        <v>0</v>
      </c>
      <c r="N391" s="53">
        <f>+(J391-M391)*F391</f>
        <v>5.22</v>
      </c>
      <c r="O391" s="53">
        <f>+J391-M391+N391</f>
        <v>48.72</v>
      </c>
      <c r="P391" s="95" t="s">
        <v>80</v>
      </c>
      <c r="Q391" s="95" t="s">
        <v>81</v>
      </c>
      <c r="R391" s="7" t="s">
        <v>25</v>
      </c>
    </row>
    <row r="392" spans="1:18" x14ac:dyDescent="0.25">
      <c r="B392" s="2" t="s">
        <v>21</v>
      </c>
      <c r="C392" s="15" t="s">
        <v>22</v>
      </c>
      <c r="D392" s="32">
        <v>3</v>
      </c>
      <c r="E392" s="95" t="s">
        <v>413</v>
      </c>
      <c r="F392" s="43">
        <v>0.12</v>
      </c>
      <c r="G392" s="7" t="s">
        <v>347</v>
      </c>
      <c r="H392" s="29">
        <v>6</v>
      </c>
      <c r="I392" s="51">
        <f>+IF(F392=0%,D392*H392,0)</f>
        <v>0</v>
      </c>
      <c r="J392" s="51">
        <f>+IF(F392=12%,D392*H392,0)</f>
        <v>18</v>
      </c>
      <c r="K392" s="52">
        <v>0</v>
      </c>
      <c r="L392" s="53">
        <v>0</v>
      </c>
      <c r="M392" s="53">
        <f>+J392*K392</f>
        <v>0</v>
      </c>
      <c r="N392" s="53">
        <f>+(J392-M392)*F392</f>
        <v>2.16</v>
      </c>
      <c r="O392" s="53">
        <f>+J392-M392+N392</f>
        <v>20.16</v>
      </c>
      <c r="P392" s="95" t="s">
        <v>80</v>
      </c>
      <c r="Q392" s="95" t="s">
        <v>81</v>
      </c>
      <c r="R392" s="7" t="s">
        <v>25</v>
      </c>
    </row>
    <row r="393" spans="1:18" ht="30" x14ac:dyDescent="0.25">
      <c r="B393" s="2" t="s">
        <v>23</v>
      </c>
      <c r="C393" s="8" t="s">
        <v>24</v>
      </c>
      <c r="D393" s="32">
        <v>5</v>
      </c>
      <c r="E393" s="95" t="s">
        <v>414</v>
      </c>
      <c r="F393" s="43">
        <v>0.12</v>
      </c>
      <c r="G393" s="7" t="s">
        <v>348</v>
      </c>
      <c r="H393" s="29">
        <v>4</v>
      </c>
      <c r="I393" s="51">
        <f>+IF(F393=0%,D393*H393,0)</f>
        <v>0</v>
      </c>
      <c r="J393" s="51">
        <f>+IF(F393=12%,D393*H393,0)</f>
        <v>20</v>
      </c>
      <c r="K393" s="52">
        <v>0</v>
      </c>
      <c r="L393" s="53">
        <v>0</v>
      </c>
      <c r="M393" s="53">
        <f>+J393*K393</f>
        <v>0</v>
      </c>
      <c r="N393" s="53">
        <f>+(J393-M393)*F393</f>
        <v>2.4</v>
      </c>
      <c r="O393" s="53">
        <f>+J393-M393+N393</f>
        <v>22.4</v>
      </c>
      <c r="P393" s="95" t="s">
        <v>80</v>
      </c>
      <c r="Q393" s="95" t="s">
        <v>81</v>
      </c>
      <c r="R393" s="7" t="s">
        <v>25</v>
      </c>
    </row>
    <row r="394" spans="1:18" x14ac:dyDescent="0.25">
      <c r="B394" s="2" t="s">
        <v>26</v>
      </c>
      <c r="C394" s="12" t="s">
        <v>22</v>
      </c>
      <c r="D394" s="97"/>
      <c r="E394" s="95"/>
      <c r="F394" s="43"/>
      <c r="G394" s="7"/>
      <c r="H394" s="51"/>
      <c r="I394" s="51"/>
      <c r="J394" s="51"/>
      <c r="K394" s="52"/>
      <c r="L394" s="53"/>
      <c r="M394" s="53"/>
      <c r="N394" s="53"/>
      <c r="O394" s="53"/>
      <c r="P394" s="7"/>
      <c r="Q394" s="95"/>
      <c r="R394" s="7"/>
    </row>
    <row r="395" spans="1:18" x14ac:dyDescent="0.25">
      <c r="B395" s="2" t="s">
        <v>27</v>
      </c>
      <c r="C395" s="3" t="s">
        <v>28</v>
      </c>
      <c r="D395" s="97"/>
      <c r="E395" s="95"/>
      <c r="F395" s="95"/>
      <c r="G395" s="95"/>
      <c r="H395" s="10"/>
      <c r="I395" s="10"/>
      <c r="J395" s="10"/>
      <c r="K395" s="10"/>
      <c r="L395" s="95"/>
      <c r="M395" s="10"/>
      <c r="N395" s="10"/>
      <c r="O395" s="11"/>
      <c r="P395" s="7"/>
      <c r="Q395" s="95"/>
      <c r="R395" s="7"/>
    </row>
    <row r="396" spans="1:18" ht="15.75" thickBot="1" x14ac:dyDescent="0.3">
      <c r="B396" s="2" t="s">
        <v>29</v>
      </c>
      <c r="C396" s="3">
        <v>1</v>
      </c>
      <c r="D396" s="97"/>
      <c r="E396" s="95"/>
      <c r="F396" s="95"/>
      <c r="G396" s="95"/>
      <c r="H396" s="10"/>
      <c r="I396" s="10"/>
      <c r="J396" s="10"/>
      <c r="K396" s="10"/>
      <c r="L396" s="95"/>
      <c r="M396" s="10"/>
      <c r="N396" s="10"/>
      <c r="O396" s="11"/>
      <c r="P396" s="95"/>
      <c r="Q396" s="95"/>
      <c r="R396" s="7"/>
    </row>
    <row r="397" spans="1:18" ht="15.75" thickBot="1" x14ac:dyDescent="0.3">
      <c r="B397" s="2" t="s">
        <v>30</v>
      </c>
      <c r="C397" s="3">
        <v>1121355271</v>
      </c>
      <c r="D397" s="16" t="s">
        <v>34</v>
      </c>
      <c r="E397" s="40">
        <f>+SUM(I391:I394)</f>
        <v>0</v>
      </c>
    </row>
    <row r="398" spans="1:18" ht="15.75" thickBot="1" x14ac:dyDescent="0.3">
      <c r="B398" s="2" t="s">
        <v>31</v>
      </c>
      <c r="C398" s="21">
        <v>43500</v>
      </c>
      <c r="D398" s="16" t="s">
        <v>36</v>
      </c>
      <c r="E398" s="17">
        <f>+SUM(J391:J396)</f>
        <v>81.5</v>
      </c>
    </row>
    <row r="399" spans="1:18" ht="15.75" thickBot="1" x14ac:dyDescent="0.3">
      <c r="B399" s="2" t="s">
        <v>32</v>
      </c>
      <c r="C399" s="15" t="s">
        <v>33</v>
      </c>
      <c r="D399" s="16" t="s">
        <v>39</v>
      </c>
      <c r="E399" s="17">
        <f>SUM(M391:M396)</f>
        <v>0</v>
      </c>
    </row>
    <row r="400" spans="1:18" ht="15.75" thickBot="1" x14ac:dyDescent="0.3">
      <c r="B400" s="2" t="s">
        <v>35</v>
      </c>
      <c r="C400" s="15" t="s">
        <v>33</v>
      </c>
      <c r="D400" s="16" t="s">
        <v>14</v>
      </c>
      <c r="E400" s="17">
        <f>SUM(N391:N396)</f>
        <v>9.7799999999999994</v>
      </c>
    </row>
    <row r="401" spans="1:15" ht="15.75" thickBot="1" x14ac:dyDescent="0.3">
      <c r="B401" s="2" t="s">
        <v>37</v>
      </c>
      <c r="C401" s="15" t="s">
        <v>253</v>
      </c>
      <c r="D401" s="16" t="s">
        <v>15</v>
      </c>
      <c r="E401" s="17">
        <f>SUM(O391:O396)</f>
        <v>91.28</v>
      </c>
    </row>
    <row r="402" spans="1:15" x14ac:dyDescent="0.25">
      <c r="B402" s="18"/>
      <c r="C402" s="18"/>
    </row>
    <row r="404" spans="1:15" x14ac:dyDescent="0.25">
      <c r="B404" s="114" t="s">
        <v>399</v>
      </c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</row>
    <row r="405" spans="1:15" x14ac:dyDescent="0.25">
      <c r="B405" s="2" t="s">
        <v>48</v>
      </c>
      <c r="C405" s="15" t="s">
        <v>33</v>
      </c>
      <c r="D405" s="19" t="s">
        <v>16</v>
      </c>
      <c r="E405" s="115" t="s">
        <v>152</v>
      </c>
      <c r="F405" s="116"/>
      <c r="G405" s="99" t="s">
        <v>150</v>
      </c>
      <c r="H405" s="117" t="s">
        <v>49</v>
      </c>
      <c r="I405" s="118"/>
      <c r="J405" s="117" t="s">
        <v>151</v>
      </c>
      <c r="K405" s="118"/>
      <c r="L405" s="5" t="s">
        <v>50</v>
      </c>
      <c r="M405" s="5" t="s">
        <v>51</v>
      </c>
      <c r="N405" s="117" t="s">
        <v>155</v>
      </c>
      <c r="O405" s="118"/>
    </row>
    <row r="406" spans="1:15" x14ac:dyDescent="0.25">
      <c r="B406" s="2" t="s">
        <v>52</v>
      </c>
      <c r="C406" s="15" t="s">
        <v>33</v>
      </c>
      <c r="D406" s="95" t="s">
        <v>179</v>
      </c>
      <c r="E406" s="119" t="s">
        <v>469</v>
      </c>
      <c r="F406" s="119"/>
      <c r="G406" s="96">
        <v>727</v>
      </c>
      <c r="H406" s="120" t="s">
        <v>14</v>
      </c>
      <c r="I406" s="121"/>
      <c r="J406" s="122">
        <v>0.5</v>
      </c>
      <c r="K406" s="123"/>
      <c r="L406" s="20">
        <f>+E400*J406</f>
        <v>4.8899999999999997</v>
      </c>
      <c r="M406" s="124">
        <f>+L406+L407</f>
        <v>6.52</v>
      </c>
      <c r="N406" s="126">
        <f>+E401-M406</f>
        <v>84.76</v>
      </c>
      <c r="O406" s="127"/>
    </row>
    <row r="407" spans="1:15" x14ac:dyDescent="0.25">
      <c r="B407" s="2" t="s">
        <v>53</v>
      </c>
      <c r="C407" s="15" t="s">
        <v>163</v>
      </c>
      <c r="D407" s="95" t="s">
        <v>175</v>
      </c>
      <c r="E407" s="119" t="s">
        <v>468</v>
      </c>
      <c r="F407" s="119"/>
      <c r="G407" s="96">
        <v>344</v>
      </c>
      <c r="H407" s="120" t="s">
        <v>153</v>
      </c>
      <c r="I407" s="121"/>
      <c r="J407" s="122">
        <v>0.02</v>
      </c>
      <c r="K407" s="123"/>
      <c r="L407" s="20">
        <f>(E398+E397-E399)*J407</f>
        <v>1.6300000000000001</v>
      </c>
      <c r="M407" s="125"/>
      <c r="N407" s="128"/>
      <c r="O407" s="129"/>
    </row>
    <row r="408" spans="1:15" x14ac:dyDescent="0.25">
      <c r="B408" s="2" t="s">
        <v>55</v>
      </c>
      <c r="C408" s="3" t="str">
        <f>+CONCATENATE(C398,"-",C399,"-",C400)</f>
        <v>43500-001-001</v>
      </c>
    </row>
    <row r="409" spans="1:15" x14ac:dyDescent="0.25">
      <c r="B409" s="2" t="s">
        <v>57</v>
      </c>
      <c r="C409" s="21">
        <f>+C398</f>
        <v>43500</v>
      </c>
    </row>
    <row r="410" spans="1:15" x14ac:dyDescent="0.25">
      <c r="B410" s="2" t="s">
        <v>86</v>
      </c>
      <c r="C410" s="21" t="s">
        <v>87</v>
      </c>
    </row>
    <row r="411" spans="1:15" x14ac:dyDescent="0.25">
      <c r="B411" s="2" t="s">
        <v>59</v>
      </c>
      <c r="C411" s="21" t="s">
        <v>90</v>
      </c>
      <c r="E411" s="31" t="s">
        <v>279</v>
      </c>
    </row>
    <row r="412" spans="1:15" x14ac:dyDescent="0.25">
      <c r="B412" s="2" t="s">
        <v>60</v>
      </c>
      <c r="C412" s="21" t="s">
        <v>91</v>
      </c>
    </row>
    <row r="413" spans="1:15" x14ac:dyDescent="0.25">
      <c r="B413" s="2" t="s">
        <v>61</v>
      </c>
      <c r="C413" s="27">
        <f>+E401-M406</f>
        <v>84.76</v>
      </c>
    </row>
    <row r="416" spans="1:15" ht="26.25" x14ac:dyDescent="0.4">
      <c r="A416" s="34" t="s">
        <v>212</v>
      </c>
      <c r="B416" s="34" t="s">
        <v>140</v>
      </c>
      <c r="C416" s="1" t="s">
        <v>417</v>
      </c>
    </row>
    <row r="417" spans="2:18" x14ac:dyDescent="0.25">
      <c r="B417" s="112" t="s">
        <v>398</v>
      </c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</row>
    <row r="418" spans="2:18" x14ac:dyDescent="0.25">
      <c r="B418" s="2" t="s">
        <v>6</v>
      </c>
      <c r="C418" s="3" t="s">
        <v>216</v>
      </c>
      <c r="D418" s="100" t="s">
        <v>8</v>
      </c>
      <c r="E418" s="5" t="s">
        <v>9</v>
      </c>
      <c r="F418" s="5" t="s">
        <v>14</v>
      </c>
      <c r="G418" s="5" t="s">
        <v>10</v>
      </c>
      <c r="H418" s="5" t="s">
        <v>11</v>
      </c>
      <c r="I418" s="5" t="s">
        <v>148</v>
      </c>
      <c r="J418" s="5" t="s">
        <v>149</v>
      </c>
      <c r="K418" s="5" t="s">
        <v>12</v>
      </c>
      <c r="L418" s="5" t="s">
        <v>13</v>
      </c>
      <c r="M418" s="5" t="s">
        <v>40</v>
      </c>
      <c r="N418" s="5" t="s">
        <v>14</v>
      </c>
      <c r="O418" s="5" t="s">
        <v>15</v>
      </c>
      <c r="P418" s="5" t="s">
        <v>16</v>
      </c>
      <c r="Q418" s="5" t="s">
        <v>17</v>
      </c>
      <c r="R418" s="5" t="s">
        <v>18</v>
      </c>
    </row>
    <row r="419" spans="2:18" x14ac:dyDescent="0.25">
      <c r="B419" s="2" t="s">
        <v>19</v>
      </c>
      <c r="C419" s="33" t="s">
        <v>217</v>
      </c>
      <c r="D419" s="7">
        <v>2</v>
      </c>
      <c r="E419" s="95" t="s">
        <v>95</v>
      </c>
      <c r="F419" s="43">
        <v>0.12</v>
      </c>
      <c r="G419" s="7" t="s">
        <v>349</v>
      </c>
      <c r="H419" s="51">
        <v>420</v>
      </c>
      <c r="I419" s="51">
        <f>+IF(F419=0%,D419*H419,0)</f>
        <v>0</v>
      </c>
      <c r="J419" s="51">
        <f>+IF(F419=12%,D419*H419,0)</f>
        <v>840</v>
      </c>
      <c r="K419" s="52">
        <v>0</v>
      </c>
      <c r="L419" s="53">
        <v>0</v>
      </c>
      <c r="M419" s="53">
        <f>+J419*K419</f>
        <v>0</v>
      </c>
      <c r="N419" s="53">
        <f>+(J419-M419)*F419</f>
        <v>100.8</v>
      </c>
      <c r="O419" s="53">
        <f>+J419-M419+N419</f>
        <v>940.8</v>
      </c>
      <c r="P419" s="95" t="s">
        <v>221</v>
      </c>
      <c r="Q419" s="95" t="s">
        <v>222</v>
      </c>
      <c r="R419" s="7" t="s">
        <v>25</v>
      </c>
    </row>
    <row r="420" spans="2:18" x14ac:dyDescent="0.25">
      <c r="B420" s="2" t="s">
        <v>21</v>
      </c>
      <c r="C420" s="15" t="s">
        <v>22</v>
      </c>
      <c r="D420" s="7"/>
      <c r="E420" s="95"/>
      <c r="F420" s="43"/>
      <c r="G420" s="35"/>
      <c r="H420" s="51"/>
      <c r="I420" s="51"/>
      <c r="J420" s="51"/>
      <c r="K420" s="52"/>
      <c r="L420" s="53"/>
      <c r="M420" s="53"/>
      <c r="N420" s="53"/>
      <c r="O420" s="53"/>
      <c r="P420" s="7"/>
      <c r="Q420" s="95"/>
      <c r="R420" s="7"/>
    </row>
    <row r="421" spans="2:18" ht="30" x14ac:dyDescent="0.25">
      <c r="B421" s="2" t="s">
        <v>23</v>
      </c>
      <c r="C421" s="30" t="s">
        <v>218</v>
      </c>
      <c r="D421" s="7"/>
      <c r="E421" s="95"/>
      <c r="F421" s="43"/>
      <c r="G421" s="35"/>
      <c r="H421" s="51"/>
      <c r="I421" s="51"/>
      <c r="J421" s="51"/>
      <c r="K421" s="52"/>
      <c r="L421" s="53"/>
      <c r="M421" s="53"/>
      <c r="N421" s="53"/>
      <c r="O421" s="53"/>
      <c r="P421" s="7"/>
      <c r="Q421" s="95"/>
      <c r="R421" s="7"/>
    </row>
    <row r="422" spans="2:18" x14ac:dyDescent="0.25">
      <c r="B422" s="2" t="s">
        <v>26</v>
      </c>
      <c r="C422" s="12" t="s">
        <v>219</v>
      </c>
      <c r="D422" s="7"/>
      <c r="E422" s="95"/>
      <c r="F422" s="43"/>
      <c r="G422" s="35"/>
      <c r="H422" s="51"/>
      <c r="I422" s="51"/>
      <c r="J422" s="51"/>
      <c r="K422" s="52"/>
      <c r="L422" s="53"/>
      <c r="M422" s="53"/>
      <c r="N422" s="53"/>
      <c r="O422" s="53"/>
      <c r="P422" s="7"/>
      <c r="Q422" s="95"/>
      <c r="R422" s="7"/>
    </row>
    <row r="423" spans="2:18" x14ac:dyDescent="0.25">
      <c r="B423" s="2" t="s">
        <v>27</v>
      </c>
      <c r="C423" s="3" t="s">
        <v>28</v>
      </c>
      <c r="D423" s="97"/>
      <c r="E423" s="95"/>
      <c r="F423" s="95"/>
      <c r="G423" s="95"/>
      <c r="H423" s="10"/>
      <c r="I423" s="10"/>
      <c r="J423" s="10"/>
      <c r="K423" s="10"/>
      <c r="L423" s="95"/>
      <c r="M423" s="10"/>
      <c r="N423" s="10"/>
      <c r="O423" s="11"/>
      <c r="P423" s="7"/>
      <c r="Q423" s="95"/>
      <c r="R423" s="7"/>
    </row>
    <row r="424" spans="2:18" ht="15.75" thickBot="1" x14ac:dyDescent="0.3">
      <c r="B424" s="2" t="s">
        <v>29</v>
      </c>
      <c r="C424" s="3">
        <v>1</v>
      </c>
      <c r="D424" s="97"/>
      <c r="E424" s="95"/>
      <c r="F424" s="95"/>
      <c r="G424" s="95"/>
      <c r="H424" s="10"/>
      <c r="I424" s="10"/>
      <c r="J424" s="10"/>
      <c r="K424" s="10"/>
      <c r="L424" s="95"/>
      <c r="M424" s="10"/>
      <c r="N424" s="10"/>
      <c r="O424" s="11"/>
      <c r="P424" s="95"/>
      <c r="Q424" s="95"/>
      <c r="R424" s="7"/>
    </row>
    <row r="425" spans="2:18" ht="15.75" thickBot="1" x14ac:dyDescent="0.3">
      <c r="B425" s="2" t="s">
        <v>30</v>
      </c>
      <c r="C425" s="7">
        <v>1122598232</v>
      </c>
      <c r="D425" s="16" t="s">
        <v>34</v>
      </c>
      <c r="E425" s="40">
        <f>+SUM(I419:I422)</f>
        <v>0</v>
      </c>
    </row>
    <row r="426" spans="2:18" ht="15.75" thickBot="1" x14ac:dyDescent="0.3">
      <c r="B426" s="2" t="s">
        <v>31</v>
      </c>
      <c r="C426" s="14">
        <v>43501</v>
      </c>
      <c r="D426" s="16" t="s">
        <v>36</v>
      </c>
      <c r="E426" s="17">
        <f>+SUM(J419:J424)</f>
        <v>840</v>
      </c>
    </row>
    <row r="427" spans="2:18" ht="15.75" thickBot="1" x14ac:dyDescent="0.3">
      <c r="B427" s="2" t="s">
        <v>32</v>
      </c>
      <c r="C427" s="15" t="s">
        <v>33</v>
      </c>
      <c r="D427" s="16" t="s">
        <v>39</v>
      </c>
      <c r="E427" s="17">
        <f>SUM(M419:M424)</f>
        <v>0</v>
      </c>
    </row>
    <row r="428" spans="2:18" ht="15.75" thickBot="1" x14ac:dyDescent="0.3">
      <c r="B428" s="2" t="s">
        <v>35</v>
      </c>
      <c r="C428" s="15" t="s">
        <v>33</v>
      </c>
      <c r="D428" s="16" t="s">
        <v>14</v>
      </c>
      <c r="E428" s="17">
        <f>SUM(N419:N424)</f>
        <v>100.8</v>
      </c>
    </row>
    <row r="429" spans="2:18" ht="15.75" thickBot="1" x14ac:dyDescent="0.3">
      <c r="B429" s="2" t="s">
        <v>37</v>
      </c>
      <c r="C429" s="15" t="s">
        <v>220</v>
      </c>
      <c r="D429" s="16" t="s">
        <v>15</v>
      </c>
      <c r="E429" s="17">
        <f>SUM(O419:O424)</f>
        <v>940.8</v>
      </c>
    </row>
    <row r="430" spans="2:18" x14ac:dyDescent="0.25">
      <c r="B430" s="18"/>
      <c r="C430" s="18"/>
    </row>
    <row r="431" spans="2:18" x14ac:dyDescent="0.25">
      <c r="B431" s="18"/>
      <c r="C431" s="18"/>
    </row>
    <row r="432" spans="2:18" x14ac:dyDescent="0.25">
      <c r="B432" s="114" t="s">
        <v>399</v>
      </c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</row>
    <row r="433" spans="1:18" x14ac:dyDescent="0.25">
      <c r="B433" s="2" t="s">
        <v>48</v>
      </c>
      <c r="C433" s="33" t="s">
        <v>33</v>
      </c>
      <c r="D433" s="19" t="s">
        <v>16</v>
      </c>
      <c r="E433" s="115" t="s">
        <v>152</v>
      </c>
      <c r="F433" s="116"/>
      <c r="G433" s="99" t="s">
        <v>150</v>
      </c>
      <c r="H433" s="117" t="s">
        <v>49</v>
      </c>
      <c r="I433" s="118"/>
      <c r="J433" s="117" t="s">
        <v>151</v>
      </c>
      <c r="K433" s="118"/>
      <c r="L433" s="5" t="s">
        <v>50</v>
      </c>
      <c r="M433" s="5" t="s">
        <v>51</v>
      </c>
      <c r="N433" s="117" t="s">
        <v>155</v>
      </c>
      <c r="O433" s="118"/>
    </row>
    <row r="434" spans="1:18" x14ac:dyDescent="0.25">
      <c r="B434" s="2" t="s">
        <v>52</v>
      </c>
      <c r="C434" s="15" t="s">
        <v>33</v>
      </c>
      <c r="D434" s="95" t="s">
        <v>173</v>
      </c>
      <c r="E434" s="119" t="s">
        <v>470</v>
      </c>
      <c r="F434" s="119"/>
      <c r="G434" s="96">
        <v>729</v>
      </c>
      <c r="H434" s="120" t="s">
        <v>14</v>
      </c>
      <c r="I434" s="121"/>
      <c r="J434" s="122">
        <v>0.7</v>
      </c>
      <c r="K434" s="123"/>
      <c r="L434" s="20">
        <f>+E428*J434</f>
        <v>70.559999999999988</v>
      </c>
      <c r="M434" s="124">
        <f>+L434+L435</f>
        <v>78.959999999999994</v>
      </c>
      <c r="N434" s="126">
        <f>+E429-M434</f>
        <v>861.83999999999992</v>
      </c>
      <c r="O434" s="127"/>
    </row>
    <row r="435" spans="1:18" x14ac:dyDescent="0.25">
      <c r="B435" s="2" t="s">
        <v>53</v>
      </c>
      <c r="C435" s="7">
        <v>504</v>
      </c>
      <c r="D435" s="95" t="s">
        <v>165</v>
      </c>
      <c r="E435" s="119" t="s">
        <v>462</v>
      </c>
      <c r="F435" s="119"/>
      <c r="G435" s="96">
        <v>312</v>
      </c>
      <c r="H435" s="120" t="s">
        <v>153</v>
      </c>
      <c r="I435" s="121"/>
      <c r="J435" s="122">
        <v>0.01</v>
      </c>
      <c r="K435" s="123"/>
      <c r="L435" s="20">
        <f>(E426+E425-E427)*J435</f>
        <v>8.4</v>
      </c>
      <c r="M435" s="125"/>
      <c r="N435" s="128"/>
      <c r="O435" s="129"/>
    </row>
    <row r="436" spans="1:18" x14ac:dyDescent="0.25">
      <c r="B436" s="2" t="s">
        <v>55</v>
      </c>
      <c r="C436" s="3" t="str">
        <f>+CONCATENATE(C427,"-",C428,"-",C429)</f>
        <v>001-001-456</v>
      </c>
    </row>
    <row r="437" spans="1:18" x14ac:dyDescent="0.25">
      <c r="B437" s="2" t="s">
        <v>57</v>
      </c>
      <c r="C437" s="21" t="str">
        <f>+C428</f>
        <v>001</v>
      </c>
    </row>
    <row r="438" spans="1:18" x14ac:dyDescent="0.25">
      <c r="B438" s="2" t="s">
        <v>86</v>
      </c>
      <c r="C438" s="21" t="s">
        <v>143</v>
      </c>
    </row>
    <row r="439" spans="1:18" x14ac:dyDescent="0.25">
      <c r="B439" s="2" t="s">
        <v>58</v>
      </c>
      <c r="C439" s="21" t="s">
        <v>144</v>
      </c>
      <c r="E439" s="31" t="s">
        <v>279</v>
      </c>
    </row>
    <row r="440" spans="1:18" x14ac:dyDescent="0.25">
      <c r="B440" s="2" t="s">
        <v>60</v>
      </c>
      <c r="C440" s="21" t="s">
        <v>74</v>
      </c>
    </row>
    <row r="441" spans="1:18" x14ac:dyDescent="0.25">
      <c r="B441" s="2" t="s">
        <v>61</v>
      </c>
      <c r="C441" s="27">
        <f>+E429-M434</f>
        <v>861.83999999999992</v>
      </c>
    </row>
    <row r="444" spans="1:18" ht="26.25" x14ac:dyDescent="0.4">
      <c r="A444" s="34" t="s">
        <v>212</v>
      </c>
      <c r="B444" s="34" t="s">
        <v>142</v>
      </c>
      <c r="C444" s="1" t="s">
        <v>418</v>
      </c>
    </row>
    <row r="445" spans="1:18" x14ac:dyDescent="0.25">
      <c r="B445" s="112" t="s">
        <v>398</v>
      </c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</row>
    <row r="446" spans="1:18" x14ac:dyDescent="0.25">
      <c r="B446" s="2" t="s">
        <v>6</v>
      </c>
      <c r="C446" s="3" t="s">
        <v>216</v>
      </c>
      <c r="D446" s="100" t="s">
        <v>8</v>
      </c>
      <c r="E446" s="5" t="s">
        <v>9</v>
      </c>
      <c r="F446" s="5" t="s">
        <v>14</v>
      </c>
      <c r="G446" s="5" t="s">
        <v>10</v>
      </c>
      <c r="H446" s="5" t="s">
        <v>11</v>
      </c>
      <c r="I446" s="5" t="s">
        <v>148</v>
      </c>
      <c r="J446" s="5" t="s">
        <v>149</v>
      </c>
      <c r="K446" s="5" t="s">
        <v>12</v>
      </c>
      <c r="L446" s="5" t="s">
        <v>13</v>
      </c>
      <c r="M446" s="5" t="s">
        <v>40</v>
      </c>
      <c r="N446" s="5" t="s">
        <v>14</v>
      </c>
      <c r="O446" s="5" t="s">
        <v>15</v>
      </c>
      <c r="P446" s="5" t="s">
        <v>16</v>
      </c>
      <c r="Q446" s="5" t="s">
        <v>17</v>
      </c>
      <c r="R446" s="5" t="s">
        <v>18</v>
      </c>
    </row>
    <row r="447" spans="1:18" x14ac:dyDescent="0.25">
      <c r="B447" s="2" t="s">
        <v>19</v>
      </c>
      <c r="C447" s="33" t="s">
        <v>217</v>
      </c>
      <c r="D447" s="7">
        <v>2</v>
      </c>
      <c r="E447" s="95" t="s">
        <v>95</v>
      </c>
      <c r="F447" s="43">
        <v>0.12</v>
      </c>
      <c r="G447" s="7" t="s">
        <v>350</v>
      </c>
      <c r="H447" s="51">
        <v>420</v>
      </c>
      <c r="I447" s="51">
        <f>+IF(F447=0%,D447*H447,0)</f>
        <v>0</v>
      </c>
      <c r="J447" s="51">
        <f>+IF(F447=12%,D447*H447,0)</f>
        <v>840</v>
      </c>
      <c r="K447" s="52">
        <v>0</v>
      </c>
      <c r="L447" s="53">
        <v>0</v>
      </c>
      <c r="M447" s="53">
        <f>+J447*K447</f>
        <v>0</v>
      </c>
      <c r="N447" s="53">
        <f>+(J447-M447)*F447</f>
        <v>100.8</v>
      </c>
      <c r="O447" s="53">
        <f>+J447-M447+N447</f>
        <v>940.8</v>
      </c>
      <c r="P447" s="95" t="s">
        <v>221</v>
      </c>
      <c r="Q447" s="95" t="s">
        <v>222</v>
      </c>
      <c r="R447" s="7" t="s">
        <v>25</v>
      </c>
    </row>
    <row r="448" spans="1:18" x14ac:dyDescent="0.25">
      <c r="B448" s="2" t="s">
        <v>21</v>
      </c>
      <c r="C448" s="15" t="s">
        <v>22</v>
      </c>
      <c r="D448" s="7"/>
      <c r="E448" s="95"/>
      <c r="F448" s="43"/>
      <c r="G448" s="35"/>
      <c r="H448" s="51"/>
      <c r="I448" s="51"/>
      <c r="J448" s="51"/>
      <c r="K448" s="52"/>
      <c r="L448" s="53"/>
      <c r="M448" s="53"/>
      <c r="N448" s="53"/>
      <c r="O448" s="53"/>
      <c r="P448" s="7"/>
      <c r="Q448" s="95"/>
      <c r="R448" s="7"/>
    </row>
    <row r="449" spans="2:18" ht="30" x14ac:dyDescent="0.25">
      <c r="B449" s="2" t="s">
        <v>23</v>
      </c>
      <c r="C449" s="30" t="s">
        <v>218</v>
      </c>
      <c r="D449" s="7"/>
      <c r="E449" s="95"/>
      <c r="F449" s="43"/>
      <c r="G449" s="35"/>
      <c r="H449" s="51"/>
      <c r="I449" s="51"/>
      <c r="J449" s="51"/>
      <c r="K449" s="52"/>
      <c r="L449" s="53"/>
      <c r="M449" s="53"/>
      <c r="N449" s="53"/>
      <c r="O449" s="53"/>
      <c r="P449" s="7"/>
      <c r="Q449" s="95"/>
      <c r="R449" s="7"/>
    </row>
    <row r="450" spans="2:18" x14ac:dyDescent="0.25">
      <c r="B450" s="2" t="s">
        <v>26</v>
      </c>
      <c r="C450" s="12" t="s">
        <v>219</v>
      </c>
      <c r="D450" s="7"/>
      <c r="E450" s="95"/>
      <c r="F450" s="43"/>
      <c r="G450" s="35"/>
      <c r="H450" s="51"/>
      <c r="I450" s="51"/>
      <c r="J450" s="51"/>
      <c r="K450" s="52"/>
      <c r="L450" s="53"/>
      <c r="M450" s="53"/>
      <c r="N450" s="53"/>
      <c r="O450" s="53"/>
      <c r="P450" s="7"/>
      <c r="Q450" s="95"/>
      <c r="R450" s="7"/>
    </row>
    <row r="451" spans="2:18" x14ac:dyDescent="0.25">
      <c r="B451" s="2" t="s">
        <v>27</v>
      </c>
      <c r="C451" s="3" t="s">
        <v>28</v>
      </c>
      <c r="D451" s="97"/>
      <c r="E451" s="95"/>
      <c r="F451" s="95"/>
      <c r="G451" s="95"/>
      <c r="H451" s="10"/>
      <c r="I451" s="10"/>
      <c r="J451" s="10"/>
      <c r="K451" s="10"/>
      <c r="L451" s="95"/>
      <c r="M451" s="10"/>
      <c r="N451" s="10"/>
      <c r="O451" s="11"/>
      <c r="P451" s="7"/>
      <c r="Q451" s="95"/>
      <c r="R451" s="7"/>
    </row>
    <row r="452" spans="2:18" ht="15.75" thickBot="1" x14ac:dyDescent="0.3">
      <c r="B452" s="2" t="s">
        <v>29</v>
      </c>
      <c r="C452" s="3">
        <v>1</v>
      </c>
      <c r="D452" s="97"/>
      <c r="E452" s="95"/>
      <c r="F452" s="95"/>
      <c r="G452" s="95"/>
      <c r="H452" s="10"/>
      <c r="I452" s="10"/>
      <c r="J452" s="10"/>
      <c r="K452" s="10"/>
      <c r="L452" s="95"/>
      <c r="M452" s="10"/>
      <c r="N452" s="10"/>
      <c r="O452" s="11"/>
      <c r="P452" s="95"/>
      <c r="Q452" s="95"/>
      <c r="R452" s="7"/>
    </row>
    <row r="453" spans="2:18" ht="15.75" thickBot="1" x14ac:dyDescent="0.3">
      <c r="B453" s="2" t="s">
        <v>30</v>
      </c>
      <c r="C453" s="7">
        <v>1122728319</v>
      </c>
      <c r="D453" s="16" t="s">
        <v>34</v>
      </c>
      <c r="E453" s="40">
        <f>+SUM(I447:I450)</f>
        <v>0</v>
      </c>
    </row>
    <row r="454" spans="2:18" ht="15.75" thickBot="1" x14ac:dyDescent="0.3">
      <c r="B454" s="2" t="s">
        <v>31</v>
      </c>
      <c r="C454" s="14">
        <v>43501</v>
      </c>
      <c r="D454" s="16" t="s">
        <v>36</v>
      </c>
      <c r="E454" s="17">
        <f>+SUM(J447:J452)</f>
        <v>840</v>
      </c>
    </row>
    <row r="455" spans="2:18" ht="15.75" thickBot="1" x14ac:dyDescent="0.3">
      <c r="B455" s="2" t="s">
        <v>32</v>
      </c>
      <c r="C455" s="15" t="s">
        <v>33</v>
      </c>
      <c r="D455" s="16" t="s">
        <v>39</v>
      </c>
      <c r="E455" s="17">
        <f>SUM(M447:M452)</f>
        <v>0</v>
      </c>
    </row>
    <row r="456" spans="2:18" ht="15.75" thickBot="1" x14ac:dyDescent="0.3">
      <c r="B456" s="2" t="s">
        <v>35</v>
      </c>
      <c r="C456" s="15" t="s">
        <v>33</v>
      </c>
      <c r="D456" s="16" t="s">
        <v>14</v>
      </c>
      <c r="E456" s="17">
        <f>SUM(N447:N452)</f>
        <v>100.8</v>
      </c>
    </row>
    <row r="457" spans="2:18" ht="15.75" thickBot="1" x14ac:dyDescent="0.3">
      <c r="B457" s="2" t="s">
        <v>37</v>
      </c>
      <c r="C457" s="15" t="s">
        <v>254</v>
      </c>
      <c r="D457" s="16" t="s">
        <v>15</v>
      </c>
      <c r="E457" s="17">
        <f>SUM(O447:O452)</f>
        <v>940.8</v>
      </c>
    </row>
    <row r="458" spans="2:18" x14ac:dyDescent="0.25">
      <c r="B458" s="18"/>
      <c r="C458" s="18"/>
    </row>
    <row r="460" spans="2:18" x14ac:dyDescent="0.25">
      <c r="B460" s="114" t="s">
        <v>399</v>
      </c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</row>
    <row r="461" spans="2:18" x14ac:dyDescent="0.25">
      <c r="B461" s="2" t="s">
        <v>48</v>
      </c>
      <c r="C461" s="33" t="s">
        <v>33</v>
      </c>
      <c r="D461" s="19" t="s">
        <v>16</v>
      </c>
      <c r="E461" s="115" t="s">
        <v>152</v>
      </c>
      <c r="F461" s="116"/>
      <c r="G461" s="99" t="s">
        <v>150</v>
      </c>
      <c r="H461" s="117" t="s">
        <v>49</v>
      </c>
      <c r="I461" s="118"/>
      <c r="J461" s="117" t="s">
        <v>151</v>
      </c>
      <c r="K461" s="118"/>
      <c r="L461" s="5" t="s">
        <v>50</v>
      </c>
      <c r="M461" s="5" t="s">
        <v>51</v>
      </c>
      <c r="N461" s="117" t="s">
        <v>155</v>
      </c>
      <c r="O461" s="118"/>
    </row>
    <row r="462" spans="2:18" x14ac:dyDescent="0.25">
      <c r="B462" s="2" t="s">
        <v>52</v>
      </c>
      <c r="C462" s="15" t="s">
        <v>33</v>
      </c>
      <c r="D462" s="95" t="s">
        <v>177</v>
      </c>
      <c r="E462" s="119" t="s">
        <v>471</v>
      </c>
      <c r="F462" s="119"/>
      <c r="G462" s="96">
        <v>712</v>
      </c>
      <c r="H462" s="120" t="s">
        <v>14</v>
      </c>
      <c r="I462" s="121"/>
      <c r="J462" s="122">
        <v>0.1</v>
      </c>
      <c r="K462" s="123"/>
      <c r="L462" s="20">
        <f>+E456*J462</f>
        <v>10.08</v>
      </c>
      <c r="M462" s="124">
        <f>+L462+L463</f>
        <v>77.28</v>
      </c>
      <c r="N462" s="126">
        <f>+E457-M462</f>
        <v>863.52</v>
      </c>
      <c r="O462" s="127"/>
    </row>
    <row r="463" spans="2:18" x14ac:dyDescent="0.25">
      <c r="B463" s="2" t="s">
        <v>53</v>
      </c>
      <c r="C463" s="7">
        <v>505</v>
      </c>
      <c r="D463" s="95" t="s">
        <v>171</v>
      </c>
      <c r="E463" s="119" t="s">
        <v>467</v>
      </c>
      <c r="F463" s="119"/>
      <c r="G463" s="96">
        <v>320</v>
      </c>
      <c r="H463" s="120" t="s">
        <v>153</v>
      </c>
      <c r="I463" s="121"/>
      <c r="J463" s="122">
        <v>0.08</v>
      </c>
      <c r="K463" s="123"/>
      <c r="L463" s="20">
        <f>(E454+E453-E455)*J463</f>
        <v>67.2</v>
      </c>
      <c r="M463" s="125"/>
      <c r="N463" s="128"/>
      <c r="O463" s="129"/>
    </row>
    <row r="464" spans="2:18" x14ac:dyDescent="0.25">
      <c r="B464" s="2" t="s">
        <v>55</v>
      </c>
      <c r="C464" s="3" t="str">
        <f>+CONCATENATE(C456,"-",C457,"-",C458)</f>
        <v>001-1486-</v>
      </c>
    </row>
    <row r="465" spans="1:18" x14ac:dyDescent="0.25">
      <c r="B465" s="2" t="s">
        <v>57</v>
      </c>
      <c r="C465" s="21" t="str">
        <f>+C455</f>
        <v>001</v>
      </c>
    </row>
    <row r="466" spans="1:18" x14ac:dyDescent="0.25">
      <c r="B466" s="2" t="s">
        <v>86</v>
      </c>
      <c r="C466" s="21" t="s">
        <v>143</v>
      </c>
      <c r="E466" s="31" t="s">
        <v>279</v>
      </c>
    </row>
    <row r="467" spans="1:18" x14ac:dyDescent="0.25">
      <c r="B467" s="2" t="s">
        <v>58</v>
      </c>
      <c r="C467" s="21" t="s">
        <v>73</v>
      </c>
    </row>
    <row r="468" spans="1:18" x14ac:dyDescent="0.25">
      <c r="B468" s="2" t="s">
        <v>60</v>
      </c>
      <c r="C468" s="21" t="s">
        <v>74</v>
      </c>
      <c r="D468" s="95" t="s">
        <v>154</v>
      </c>
    </row>
    <row r="469" spans="1:18" x14ac:dyDescent="0.25">
      <c r="B469" s="2" t="s">
        <v>61</v>
      </c>
      <c r="C469" s="27">
        <f>+(E457-M462)*D469</f>
        <v>259.05599999999998</v>
      </c>
      <c r="D469" s="43">
        <v>0.3</v>
      </c>
    </row>
    <row r="470" spans="1:18" x14ac:dyDescent="0.25">
      <c r="B470" s="2" t="s">
        <v>60</v>
      </c>
      <c r="C470" s="21" t="s">
        <v>75</v>
      </c>
      <c r="D470" s="95" t="s">
        <v>154</v>
      </c>
    </row>
    <row r="471" spans="1:18" x14ac:dyDescent="0.25">
      <c r="B471" s="2" t="s">
        <v>61</v>
      </c>
      <c r="C471" s="27">
        <f>+(E457-M462)*D471</f>
        <v>259.05599999999998</v>
      </c>
      <c r="D471" s="43">
        <v>0.3</v>
      </c>
      <c r="E471" s="28"/>
      <c r="F471" s="28"/>
      <c r="H471" s="23"/>
      <c r="I471" s="23"/>
      <c r="J471" s="24"/>
      <c r="K471" s="24"/>
      <c r="L471" s="25"/>
      <c r="M471" s="26"/>
      <c r="N471" s="22"/>
      <c r="O471" s="22"/>
    </row>
    <row r="472" spans="1:18" x14ac:dyDescent="0.25">
      <c r="B472" s="2" t="s">
        <v>58</v>
      </c>
      <c r="C472" s="21" t="s">
        <v>76</v>
      </c>
      <c r="D472" s="95"/>
    </row>
    <row r="473" spans="1:18" x14ac:dyDescent="0.25">
      <c r="B473" s="2" t="s">
        <v>60</v>
      </c>
      <c r="C473" s="21" t="s">
        <v>89</v>
      </c>
      <c r="D473" s="95" t="s">
        <v>154</v>
      </c>
    </row>
    <row r="474" spans="1:18" x14ac:dyDescent="0.25">
      <c r="B474" s="2" t="s">
        <v>61</v>
      </c>
      <c r="C474" s="27">
        <f>+(E457-M462)*D474</f>
        <v>345.40800000000002</v>
      </c>
      <c r="D474" s="43">
        <v>0.4</v>
      </c>
    </row>
    <row r="475" spans="1:18" x14ac:dyDescent="0.25">
      <c r="C475" s="36"/>
    </row>
    <row r="476" spans="1:18" x14ac:dyDescent="0.25">
      <c r="C476" s="36"/>
    </row>
    <row r="477" spans="1:18" ht="26.25" x14ac:dyDescent="0.4">
      <c r="A477" s="34" t="s">
        <v>212</v>
      </c>
      <c r="B477" s="34" t="s">
        <v>145</v>
      </c>
      <c r="C477" s="1" t="s">
        <v>419</v>
      </c>
    </row>
    <row r="478" spans="1:18" x14ac:dyDescent="0.25">
      <c r="B478" s="112" t="s">
        <v>398</v>
      </c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</row>
    <row r="479" spans="1:18" x14ac:dyDescent="0.25">
      <c r="B479" s="2" t="s">
        <v>6</v>
      </c>
      <c r="C479" s="3" t="s">
        <v>216</v>
      </c>
      <c r="D479" s="100" t="s">
        <v>8</v>
      </c>
      <c r="E479" s="5" t="s">
        <v>9</v>
      </c>
      <c r="F479" s="5" t="s">
        <v>14</v>
      </c>
      <c r="G479" s="5" t="s">
        <v>10</v>
      </c>
      <c r="H479" s="5" t="s">
        <v>11</v>
      </c>
      <c r="I479" s="5" t="s">
        <v>148</v>
      </c>
      <c r="J479" s="5" t="s">
        <v>149</v>
      </c>
      <c r="K479" s="5" t="s">
        <v>12</v>
      </c>
      <c r="L479" s="5" t="s">
        <v>13</v>
      </c>
      <c r="M479" s="5" t="s">
        <v>40</v>
      </c>
      <c r="N479" s="5" t="s">
        <v>14</v>
      </c>
      <c r="O479" s="5" t="s">
        <v>15</v>
      </c>
      <c r="P479" s="5" t="s">
        <v>16</v>
      </c>
      <c r="Q479" s="5" t="s">
        <v>17</v>
      </c>
      <c r="R479" s="5" t="s">
        <v>18</v>
      </c>
    </row>
    <row r="480" spans="1:18" x14ac:dyDescent="0.25">
      <c r="B480" s="2" t="s">
        <v>19</v>
      </c>
      <c r="C480" s="33" t="s">
        <v>217</v>
      </c>
      <c r="D480" s="7">
        <v>2</v>
      </c>
      <c r="E480" s="95" t="s">
        <v>95</v>
      </c>
      <c r="F480" s="43">
        <v>0.12</v>
      </c>
      <c r="G480" s="7" t="s">
        <v>351</v>
      </c>
      <c r="H480" s="51">
        <v>420</v>
      </c>
      <c r="I480" s="51">
        <f>+IF(F480=0%,D480*H480,0)</f>
        <v>0</v>
      </c>
      <c r="J480" s="51">
        <f>+IF(F480=12%,D480*H480,0)</f>
        <v>840</v>
      </c>
      <c r="K480" s="52">
        <v>0</v>
      </c>
      <c r="L480" s="53">
        <v>0</v>
      </c>
      <c r="M480" s="53">
        <f>+J480*K480</f>
        <v>0</v>
      </c>
      <c r="N480" s="53">
        <f>+(J480-M480)*F480</f>
        <v>100.8</v>
      </c>
      <c r="O480" s="53">
        <f>+J480-M480+N480</f>
        <v>940.8</v>
      </c>
      <c r="P480" s="95" t="s">
        <v>221</v>
      </c>
      <c r="Q480" s="95" t="s">
        <v>222</v>
      </c>
      <c r="R480" s="7" t="s">
        <v>25</v>
      </c>
    </row>
    <row r="481" spans="2:18" x14ac:dyDescent="0.25">
      <c r="B481" s="2" t="s">
        <v>21</v>
      </c>
      <c r="C481" s="15" t="s">
        <v>22</v>
      </c>
      <c r="D481" s="7"/>
      <c r="E481" s="95"/>
      <c r="F481" s="43"/>
      <c r="G481" s="35"/>
      <c r="H481" s="51"/>
      <c r="I481" s="51"/>
      <c r="J481" s="51"/>
      <c r="K481" s="52"/>
      <c r="L481" s="53"/>
      <c r="M481" s="53"/>
      <c r="N481" s="53"/>
      <c r="O481" s="53"/>
      <c r="P481" s="7"/>
      <c r="Q481" s="95"/>
      <c r="R481" s="7"/>
    </row>
    <row r="482" spans="2:18" ht="30" x14ac:dyDescent="0.25">
      <c r="B482" s="2" t="s">
        <v>23</v>
      </c>
      <c r="C482" s="30" t="s">
        <v>218</v>
      </c>
      <c r="D482" s="7"/>
      <c r="E482" s="95"/>
      <c r="F482" s="43"/>
      <c r="G482" s="35"/>
      <c r="H482" s="51"/>
      <c r="I482" s="51"/>
      <c r="J482" s="51"/>
      <c r="K482" s="52"/>
      <c r="L482" s="53"/>
      <c r="M482" s="53"/>
      <c r="N482" s="53"/>
      <c r="O482" s="53"/>
      <c r="P482" s="7"/>
      <c r="Q482" s="95"/>
      <c r="R482" s="7"/>
    </row>
    <row r="483" spans="2:18" x14ac:dyDescent="0.25">
      <c r="B483" s="2" t="s">
        <v>26</v>
      </c>
      <c r="C483" s="12" t="s">
        <v>219</v>
      </c>
      <c r="D483" s="7"/>
      <c r="E483" s="95"/>
      <c r="F483" s="43"/>
      <c r="G483" s="35"/>
      <c r="H483" s="51"/>
      <c r="I483" s="51"/>
      <c r="J483" s="51"/>
      <c r="K483" s="52"/>
      <c r="L483" s="53"/>
      <c r="M483" s="53"/>
      <c r="N483" s="53"/>
      <c r="O483" s="53"/>
      <c r="P483" s="7"/>
      <c r="Q483" s="95"/>
      <c r="R483" s="7"/>
    </row>
    <row r="484" spans="2:18" x14ac:dyDescent="0.25">
      <c r="B484" s="2" t="s">
        <v>27</v>
      </c>
      <c r="C484" s="3" t="s">
        <v>28</v>
      </c>
      <c r="D484" s="97"/>
      <c r="E484" s="95"/>
      <c r="F484" s="95"/>
      <c r="G484" s="95"/>
      <c r="H484" s="10"/>
      <c r="I484" s="10"/>
      <c r="J484" s="10"/>
      <c r="K484" s="10"/>
      <c r="L484" s="95"/>
      <c r="M484" s="10"/>
      <c r="N484" s="10"/>
      <c r="O484" s="11"/>
      <c r="P484" s="7"/>
      <c r="Q484" s="95"/>
      <c r="R484" s="7"/>
    </row>
    <row r="485" spans="2:18" ht="15.75" thickBot="1" x14ac:dyDescent="0.3">
      <c r="B485" s="2" t="s">
        <v>29</v>
      </c>
      <c r="C485" s="3">
        <v>1</v>
      </c>
      <c r="D485" s="97"/>
      <c r="E485" s="95"/>
      <c r="F485" s="95"/>
      <c r="G485" s="95"/>
      <c r="H485" s="10"/>
      <c r="I485" s="10"/>
      <c r="J485" s="10"/>
      <c r="K485" s="10"/>
      <c r="L485" s="95"/>
      <c r="M485" s="10"/>
      <c r="N485" s="10"/>
      <c r="O485" s="11"/>
      <c r="P485" s="95"/>
      <c r="Q485" s="95"/>
      <c r="R485" s="7"/>
    </row>
    <row r="486" spans="2:18" ht="15.75" thickBot="1" x14ac:dyDescent="0.3">
      <c r="B486" s="2" t="s">
        <v>30</v>
      </c>
      <c r="C486" s="7">
        <v>1122728319</v>
      </c>
      <c r="D486" s="16" t="s">
        <v>34</v>
      </c>
      <c r="E486" s="40">
        <f>+SUM(I480:I483)</f>
        <v>0</v>
      </c>
    </row>
    <row r="487" spans="2:18" ht="15.75" thickBot="1" x14ac:dyDescent="0.3">
      <c r="B487" s="2" t="s">
        <v>31</v>
      </c>
      <c r="C487" s="14">
        <v>43501</v>
      </c>
      <c r="D487" s="16" t="s">
        <v>36</v>
      </c>
      <c r="E487" s="17">
        <f>+SUM(J480:J485)</f>
        <v>840</v>
      </c>
    </row>
    <row r="488" spans="2:18" ht="15.75" thickBot="1" x14ac:dyDescent="0.3">
      <c r="B488" s="2" t="s">
        <v>32</v>
      </c>
      <c r="C488" s="15" t="s">
        <v>33</v>
      </c>
      <c r="D488" s="16" t="s">
        <v>39</v>
      </c>
      <c r="E488" s="17">
        <f>SUM(M480:M485)</f>
        <v>0</v>
      </c>
    </row>
    <row r="489" spans="2:18" ht="15.75" thickBot="1" x14ac:dyDescent="0.3">
      <c r="B489" s="2" t="s">
        <v>35</v>
      </c>
      <c r="C489" s="15" t="s">
        <v>33</v>
      </c>
      <c r="D489" s="16" t="s">
        <v>14</v>
      </c>
      <c r="E489" s="17">
        <f>SUM(N480:N485)</f>
        <v>100.8</v>
      </c>
    </row>
    <row r="490" spans="2:18" ht="15.75" thickBot="1" x14ac:dyDescent="0.3">
      <c r="B490" s="2" t="s">
        <v>37</v>
      </c>
      <c r="C490" s="15" t="s">
        <v>255</v>
      </c>
      <c r="D490" s="16" t="s">
        <v>15</v>
      </c>
      <c r="E490" s="17">
        <f>SUM(O480:O485)</f>
        <v>940.8</v>
      </c>
    </row>
    <row r="491" spans="2:18" x14ac:dyDescent="0.25">
      <c r="B491" s="18"/>
      <c r="C491" s="18"/>
    </row>
    <row r="493" spans="2:18" x14ac:dyDescent="0.25">
      <c r="B493" s="114" t="s">
        <v>399</v>
      </c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</row>
    <row r="494" spans="2:18" x14ac:dyDescent="0.25">
      <c r="B494" s="2" t="s">
        <v>48</v>
      </c>
      <c r="C494" s="15" t="s">
        <v>33</v>
      </c>
      <c r="D494" s="19" t="s">
        <v>16</v>
      </c>
      <c r="E494" s="115" t="s">
        <v>152</v>
      </c>
      <c r="F494" s="116"/>
      <c r="G494" s="99" t="s">
        <v>150</v>
      </c>
      <c r="H494" s="117" t="s">
        <v>49</v>
      </c>
      <c r="I494" s="118"/>
      <c r="J494" s="117" t="s">
        <v>151</v>
      </c>
      <c r="K494" s="118"/>
      <c r="L494" s="5" t="s">
        <v>50</v>
      </c>
      <c r="M494" s="5" t="s">
        <v>51</v>
      </c>
      <c r="N494" s="117" t="s">
        <v>155</v>
      </c>
      <c r="O494" s="118"/>
    </row>
    <row r="495" spans="2:18" x14ac:dyDescent="0.25">
      <c r="B495" s="2" t="s">
        <v>52</v>
      </c>
      <c r="C495" s="15" t="s">
        <v>33</v>
      </c>
      <c r="D495" s="95" t="s">
        <v>181</v>
      </c>
      <c r="E495" s="119" t="s">
        <v>472</v>
      </c>
      <c r="F495" s="119"/>
      <c r="G495" s="96">
        <v>723</v>
      </c>
      <c r="H495" s="120" t="s">
        <v>14</v>
      </c>
      <c r="I495" s="121"/>
      <c r="J495" s="122">
        <v>0.2</v>
      </c>
      <c r="K495" s="123"/>
      <c r="L495" s="20">
        <f>+E489*J495</f>
        <v>20.16</v>
      </c>
      <c r="M495" s="124">
        <f>+L495+L496</f>
        <v>36.96</v>
      </c>
      <c r="N495" s="126">
        <f>+E490-M495</f>
        <v>903.83999999999992</v>
      </c>
      <c r="O495" s="127"/>
    </row>
    <row r="496" spans="2:18" x14ac:dyDescent="0.25">
      <c r="B496" s="2" t="s">
        <v>53</v>
      </c>
      <c r="C496" s="15" t="s">
        <v>164</v>
      </c>
      <c r="D496" s="95" t="s">
        <v>175</v>
      </c>
      <c r="E496" s="119" t="s">
        <v>468</v>
      </c>
      <c r="F496" s="119"/>
      <c r="G496" s="96">
        <v>311</v>
      </c>
      <c r="H496" s="120" t="s">
        <v>153</v>
      </c>
      <c r="I496" s="121"/>
      <c r="J496" s="122">
        <v>0.02</v>
      </c>
      <c r="K496" s="123"/>
      <c r="L496" s="20">
        <f>(E487+E486-E488)*J496</f>
        <v>16.8</v>
      </c>
      <c r="M496" s="125"/>
      <c r="N496" s="128"/>
      <c r="O496" s="129"/>
    </row>
    <row r="497" spans="1:18" x14ac:dyDescent="0.25">
      <c r="B497" s="2" t="s">
        <v>55</v>
      </c>
      <c r="C497" s="3" t="str">
        <f>+CONCATENATE(C487,"-",C488,"-",C489)</f>
        <v>43501-001-001</v>
      </c>
    </row>
    <row r="498" spans="1:18" x14ac:dyDescent="0.25">
      <c r="B498" s="2" t="s">
        <v>57</v>
      </c>
      <c r="C498" s="21">
        <f>+C487</f>
        <v>43501</v>
      </c>
    </row>
    <row r="499" spans="1:18" x14ac:dyDescent="0.25">
      <c r="B499" s="2" t="s">
        <v>86</v>
      </c>
      <c r="C499" s="21" t="s">
        <v>143</v>
      </c>
      <c r="E499" s="31" t="s">
        <v>279</v>
      </c>
    </row>
    <row r="500" spans="1:18" x14ac:dyDescent="0.25">
      <c r="B500" s="2" t="s">
        <v>58</v>
      </c>
      <c r="C500" s="21" t="s">
        <v>73</v>
      </c>
    </row>
    <row r="501" spans="1:18" x14ac:dyDescent="0.25">
      <c r="B501" s="2" t="s">
        <v>60</v>
      </c>
      <c r="C501" s="21" t="s">
        <v>74</v>
      </c>
      <c r="D501" s="95" t="s">
        <v>154</v>
      </c>
    </row>
    <row r="502" spans="1:18" x14ac:dyDescent="0.25">
      <c r="B502" s="2" t="s">
        <v>61</v>
      </c>
      <c r="C502" s="27">
        <f>+(E490-M495)*D502</f>
        <v>542.30399999999997</v>
      </c>
      <c r="D502" s="43">
        <v>0.6</v>
      </c>
    </row>
    <row r="503" spans="1:18" x14ac:dyDescent="0.25">
      <c r="B503" s="2" t="s">
        <v>147</v>
      </c>
      <c r="C503" s="21" t="s">
        <v>84</v>
      </c>
    </row>
    <row r="504" spans="1:18" x14ac:dyDescent="0.25">
      <c r="B504" s="2" t="s">
        <v>60</v>
      </c>
      <c r="C504" s="21" t="s">
        <v>85</v>
      </c>
      <c r="D504" s="95" t="s">
        <v>154</v>
      </c>
    </row>
    <row r="505" spans="1:18" x14ac:dyDescent="0.25">
      <c r="B505" s="2" t="s">
        <v>61</v>
      </c>
      <c r="C505" s="27">
        <f>+(E490-M495)*D505</f>
        <v>361.536</v>
      </c>
      <c r="D505" s="43">
        <v>0.4</v>
      </c>
    </row>
    <row r="507" spans="1:18" s="71" customFormat="1" x14ac:dyDescent="0.25"/>
    <row r="508" spans="1:18" ht="26.25" x14ac:dyDescent="0.4">
      <c r="A508" s="34" t="s">
        <v>240</v>
      </c>
      <c r="B508" s="34" t="s">
        <v>92</v>
      </c>
      <c r="C508" s="1" t="s">
        <v>420</v>
      </c>
    </row>
    <row r="509" spans="1:18" x14ac:dyDescent="0.25">
      <c r="B509" s="112" t="s">
        <v>398</v>
      </c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</row>
    <row r="510" spans="1:18" x14ac:dyDescent="0.25">
      <c r="B510" s="2" t="s">
        <v>6</v>
      </c>
      <c r="C510" s="3" t="s">
        <v>229</v>
      </c>
      <c r="D510" s="100" t="s">
        <v>8</v>
      </c>
      <c r="E510" s="5" t="s">
        <v>9</v>
      </c>
      <c r="F510" s="5" t="s">
        <v>14</v>
      </c>
      <c r="G510" s="5" t="s">
        <v>10</v>
      </c>
      <c r="H510" s="5" t="s">
        <v>11</v>
      </c>
      <c r="I510" s="5" t="s">
        <v>148</v>
      </c>
      <c r="J510" s="5" t="s">
        <v>149</v>
      </c>
      <c r="K510" s="5" t="s">
        <v>12</v>
      </c>
      <c r="L510" s="5" t="s">
        <v>13</v>
      </c>
      <c r="M510" s="5" t="s">
        <v>40</v>
      </c>
      <c r="N510" s="5" t="s">
        <v>14</v>
      </c>
      <c r="O510" s="5" t="s">
        <v>15</v>
      </c>
      <c r="P510" s="5" t="s">
        <v>16</v>
      </c>
      <c r="Q510" s="5" t="s">
        <v>17</v>
      </c>
      <c r="R510" s="5" t="s">
        <v>18</v>
      </c>
    </row>
    <row r="511" spans="1:18" x14ac:dyDescent="0.25">
      <c r="B511" s="2" t="s">
        <v>19</v>
      </c>
      <c r="C511" s="15" t="s">
        <v>230</v>
      </c>
      <c r="D511" s="7">
        <v>1</v>
      </c>
      <c r="E511" s="95" t="s">
        <v>421</v>
      </c>
      <c r="F511" s="72">
        <v>0.12</v>
      </c>
      <c r="G511" s="7" t="s">
        <v>352</v>
      </c>
      <c r="H511" s="10">
        <v>590</v>
      </c>
      <c r="I511" s="51">
        <f>+IF(F511=0%,D511*H511,0)</f>
        <v>0</v>
      </c>
      <c r="J511" s="51">
        <f>+IF(F511=12%,D511*H511,0)</f>
        <v>590</v>
      </c>
      <c r="K511" s="52">
        <v>0</v>
      </c>
      <c r="L511" s="53">
        <v>0</v>
      </c>
      <c r="M511" s="53">
        <f>+J511*K511</f>
        <v>0</v>
      </c>
      <c r="N511" s="53">
        <f>+(J511-M511)*F511</f>
        <v>70.8</v>
      </c>
      <c r="O511" s="53">
        <f>+J511-M511+N511</f>
        <v>660.8</v>
      </c>
      <c r="P511" s="95" t="s">
        <v>233</v>
      </c>
      <c r="Q511" s="95" t="s">
        <v>234</v>
      </c>
      <c r="R511" s="7" t="s">
        <v>25</v>
      </c>
    </row>
    <row r="512" spans="1:18" x14ac:dyDescent="0.25">
      <c r="B512" s="2" t="s">
        <v>21</v>
      </c>
      <c r="C512" s="15" t="s">
        <v>22</v>
      </c>
      <c r="D512" s="95"/>
      <c r="E512" s="95"/>
      <c r="F512" s="43"/>
      <c r="G512" s="7"/>
      <c r="H512" s="51"/>
      <c r="I512" s="51"/>
      <c r="J512" s="51"/>
      <c r="K512" s="52"/>
      <c r="L512" s="53"/>
      <c r="M512" s="53"/>
      <c r="N512" s="53"/>
      <c r="O512" s="53"/>
      <c r="P512" s="7"/>
      <c r="Q512" s="95"/>
      <c r="R512" s="7"/>
    </row>
    <row r="513" spans="2:18" ht="30" x14ac:dyDescent="0.25">
      <c r="B513" s="2" t="s">
        <v>23</v>
      </c>
      <c r="C513" s="8" t="s">
        <v>24</v>
      </c>
      <c r="D513" s="97"/>
      <c r="E513" s="95"/>
      <c r="F513" s="43"/>
      <c r="G513" s="7"/>
      <c r="H513" s="51"/>
      <c r="I513" s="51"/>
      <c r="J513" s="51"/>
      <c r="K513" s="52"/>
      <c r="L513" s="53"/>
      <c r="M513" s="53"/>
      <c r="N513" s="53"/>
      <c r="O513" s="53"/>
      <c r="P513" s="7"/>
      <c r="Q513" s="95"/>
      <c r="R513" s="7"/>
    </row>
    <row r="514" spans="2:18" x14ac:dyDescent="0.25">
      <c r="B514" s="2" t="s">
        <v>26</v>
      </c>
      <c r="C514" s="12" t="s">
        <v>22</v>
      </c>
      <c r="D514" s="97"/>
      <c r="E514" s="95"/>
      <c r="F514" s="43"/>
      <c r="G514" s="7"/>
      <c r="H514" s="51"/>
      <c r="I514" s="51"/>
      <c r="J514" s="51"/>
      <c r="K514" s="52"/>
      <c r="L514" s="53"/>
      <c r="M514" s="53"/>
      <c r="N514" s="53"/>
      <c r="O514" s="53"/>
      <c r="P514" s="7"/>
      <c r="Q514" s="95"/>
      <c r="R514" s="7"/>
    </row>
    <row r="515" spans="2:18" x14ac:dyDescent="0.25">
      <c r="B515" s="2" t="s">
        <v>27</v>
      </c>
      <c r="C515" s="3" t="s">
        <v>28</v>
      </c>
      <c r="D515" s="95"/>
      <c r="E515" s="95"/>
      <c r="F515" s="95"/>
      <c r="G515" s="7"/>
      <c r="H515" s="10"/>
      <c r="I515" s="10"/>
      <c r="J515" s="10"/>
      <c r="K515" s="10"/>
      <c r="L515" s="95"/>
      <c r="M515" s="10"/>
      <c r="N515" s="10"/>
      <c r="O515" s="11"/>
      <c r="P515" s="7"/>
      <c r="Q515" s="95"/>
      <c r="R515" s="7"/>
    </row>
    <row r="516" spans="2:18" x14ac:dyDescent="0.25">
      <c r="B516" s="2" t="s">
        <v>29</v>
      </c>
      <c r="C516" s="3">
        <v>1</v>
      </c>
      <c r="D516" s="95"/>
      <c r="E516" s="95"/>
      <c r="F516" s="95"/>
      <c r="G516" s="95"/>
      <c r="H516" s="10"/>
      <c r="I516" s="10"/>
      <c r="J516" s="10"/>
      <c r="K516" s="10"/>
      <c r="L516" s="95"/>
      <c r="M516" s="10"/>
      <c r="N516" s="10"/>
      <c r="O516" s="11"/>
      <c r="P516" s="95"/>
      <c r="Q516" s="95"/>
      <c r="R516" s="7"/>
    </row>
    <row r="517" spans="2:18" ht="15.75" thickBot="1" x14ac:dyDescent="0.3">
      <c r="B517" s="2" t="s">
        <v>30</v>
      </c>
      <c r="C517" s="7">
        <v>1121394013</v>
      </c>
      <c r="D517" s="39" t="s">
        <v>148</v>
      </c>
      <c r="E517" s="49">
        <f>+SUM(I511:I514)</f>
        <v>0</v>
      </c>
      <c r="G517" s="23"/>
      <c r="H517" s="41"/>
      <c r="I517" s="41"/>
      <c r="J517" s="41"/>
      <c r="K517" s="41"/>
      <c r="L517" s="23"/>
      <c r="M517" s="41"/>
      <c r="N517" s="41"/>
      <c r="O517" s="42"/>
      <c r="P517" s="23"/>
      <c r="Q517" s="23"/>
      <c r="R517" s="22"/>
    </row>
    <row r="518" spans="2:18" ht="15.75" thickBot="1" x14ac:dyDescent="0.3">
      <c r="B518" s="2" t="s">
        <v>31</v>
      </c>
      <c r="C518" s="14">
        <v>43502</v>
      </c>
      <c r="D518" s="16" t="s">
        <v>36</v>
      </c>
      <c r="E518" s="50">
        <f>+SUM(J511:J516)</f>
        <v>590</v>
      </c>
      <c r="G518" s="23"/>
      <c r="H518" s="41"/>
      <c r="I518" s="41"/>
      <c r="J518" s="41"/>
      <c r="K518" s="41"/>
      <c r="L518" s="23"/>
      <c r="M518" s="41"/>
      <c r="N518" s="41"/>
      <c r="O518" s="42"/>
      <c r="P518" s="23"/>
      <c r="Q518" s="23"/>
      <c r="R518" s="22"/>
    </row>
    <row r="519" spans="2:18" ht="15.75" thickBot="1" x14ac:dyDescent="0.3">
      <c r="B519" s="2" t="s">
        <v>32</v>
      </c>
      <c r="C519" s="15" t="s">
        <v>157</v>
      </c>
      <c r="D519" s="16" t="s">
        <v>39</v>
      </c>
      <c r="E519" s="50">
        <f>SUM(M511:M516)</f>
        <v>0</v>
      </c>
    </row>
    <row r="520" spans="2:18" ht="15.75" thickBot="1" x14ac:dyDescent="0.3">
      <c r="B520" s="2" t="s">
        <v>35</v>
      </c>
      <c r="C520" s="15" t="s">
        <v>231</v>
      </c>
      <c r="D520" s="16" t="s">
        <v>14</v>
      </c>
      <c r="E520" s="50">
        <f>SUM(N511:N516)</f>
        <v>70.8</v>
      </c>
    </row>
    <row r="521" spans="2:18" ht="15.75" thickBot="1" x14ac:dyDescent="0.3">
      <c r="B521" s="2" t="s">
        <v>37</v>
      </c>
      <c r="C521" s="15" t="s">
        <v>256</v>
      </c>
      <c r="D521" s="16" t="s">
        <v>15</v>
      </c>
      <c r="E521" s="50">
        <f>SUM(O511:O516)</f>
        <v>660.8</v>
      </c>
    </row>
    <row r="522" spans="2:18" x14ac:dyDescent="0.25">
      <c r="B522" s="18"/>
      <c r="C522" s="18"/>
    </row>
    <row r="523" spans="2:18" x14ac:dyDescent="0.25">
      <c r="B523" s="18"/>
      <c r="C523" s="18"/>
    </row>
    <row r="524" spans="2:18" x14ac:dyDescent="0.25">
      <c r="B524" s="114" t="s">
        <v>457</v>
      </c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</row>
    <row r="525" spans="2:18" x14ac:dyDescent="0.25">
      <c r="B525" s="2" t="s">
        <v>86</v>
      </c>
      <c r="C525" s="21" t="s">
        <v>87</v>
      </c>
      <c r="D525" s="22"/>
      <c r="E525" s="23"/>
      <c r="F525" s="23"/>
      <c r="H525" s="23"/>
      <c r="I525" s="23"/>
      <c r="J525" s="24"/>
      <c r="K525" s="24"/>
      <c r="L525" s="25"/>
      <c r="M525" s="26"/>
      <c r="N525" s="22"/>
      <c r="O525" s="22"/>
    </row>
    <row r="526" spans="2:18" x14ac:dyDescent="0.25">
      <c r="B526" s="2" t="s">
        <v>59</v>
      </c>
      <c r="C526" s="21" t="s">
        <v>84</v>
      </c>
      <c r="D526" s="22"/>
      <c r="E526" s="28" t="s">
        <v>279</v>
      </c>
      <c r="F526" s="23"/>
      <c r="H526" s="23"/>
      <c r="I526" s="23"/>
      <c r="J526" s="24"/>
      <c r="K526" s="24"/>
      <c r="L526" s="25"/>
      <c r="M526" s="26"/>
      <c r="N526" s="22"/>
      <c r="O526" s="22"/>
    </row>
    <row r="527" spans="2:18" x14ac:dyDescent="0.25">
      <c r="B527" s="2" t="s">
        <v>60</v>
      </c>
      <c r="C527" s="21" t="s">
        <v>85</v>
      </c>
      <c r="D527" s="22"/>
      <c r="E527" s="23"/>
      <c r="F527" s="23"/>
      <c r="H527" s="23"/>
      <c r="I527" s="23"/>
      <c r="J527" s="24"/>
      <c r="K527" s="24"/>
      <c r="L527" s="25"/>
      <c r="M527" s="26"/>
      <c r="N527" s="22"/>
      <c r="O527" s="22"/>
    </row>
    <row r="528" spans="2:18" x14ac:dyDescent="0.25">
      <c r="B528" s="2" t="s">
        <v>61</v>
      </c>
      <c r="C528" s="27">
        <f>+E521</f>
        <v>660.8</v>
      </c>
      <c r="D528" s="22"/>
      <c r="E528" s="28"/>
      <c r="G528" s="23"/>
      <c r="H528" s="24"/>
      <c r="I528" s="24"/>
      <c r="J528" s="24"/>
      <c r="K528" s="25"/>
      <c r="L528" s="26"/>
      <c r="M528" s="22"/>
      <c r="N528" s="22"/>
    </row>
    <row r="531" spans="1:18" ht="26.25" x14ac:dyDescent="0.4">
      <c r="A531" s="34" t="s">
        <v>240</v>
      </c>
      <c r="B531" s="34" t="s">
        <v>93</v>
      </c>
      <c r="C531" s="1" t="s">
        <v>422</v>
      </c>
    </row>
    <row r="532" spans="1:18" x14ac:dyDescent="0.25">
      <c r="B532" s="112" t="s">
        <v>398</v>
      </c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</row>
    <row r="533" spans="1:18" x14ac:dyDescent="0.25">
      <c r="B533" s="2" t="s">
        <v>6</v>
      </c>
      <c r="C533" s="3" t="s">
        <v>229</v>
      </c>
      <c r="D533" s="100" t="s">
        <v>8</v>
      </c>
      <c r="E533" s="5" t="s">
        <v>9</v>
      </c>
      <c r="F533" s="5" t="s">
        <v>14</v>
      </c>
      <c r="G533" s="5" t="s">
        <v>10</v>
      </c>
      <c r="H533" s="5" t="s">
        <v>11</v>
      </c>
      <c r="I533" s="5" t="s">
        <v>148</v>
      </c>
      <c r="J533" s="5" t="s">
        <v>149</v>
      </c>
      <c r="K533" s="5" t="s">
        <v>12</v>
      </c>
      <c r="L533" s="5" t="s">
        <v>13</v>
      </c>
      <c r="M533" s="5" t="s">
        <v>40</v>
      </c>
      <c r="N533" s="5" t="s">
        <v>14</v>
      </c>
      <c r="O533" s="5" t="s">
        <v>15</v>
      </c>
      <c r="P533" s="5" t="s">
        <v>16</v>
      </c>
      <c r="Q533" s="5" t="s">
        <v>17</v>
      </c>
      <c r="R533" s="5" t="s">
        <v>18</v>
      </c>
    </row>
    <row r="534" spans="1:18" x14ac:dyDescent="0.25">
      <c r="B534" s="2" t="s">
        <v>19</v>
      </c>
      <c r="C534" s="15" t="s">
        <v>230</v>
      </c>
      <c r="D534" s="7">
        <v>1</v>
      </c>
      <c r="E534" s="95" t="s">
        <v>421</v>
      </c>
      <c r="F534" s="72">
        <v>0.12</v>
      </c>
      <c r="G534" s="7" t="s">
        <v>352</v>
      </c>
      <c r="H534" s="10">
        <v>1200</v>
      </c>
      <c r="I534" s="51">
        <f>+IF(F534=0%,D534*H534,0)</f>
        <v>0</v>
      </c>
      <c r="J534" s="51">
        <f>+IF(F534=12%,D534*H534,0)</f>
        <v>1200</v>
      </c>
      <c r="K534" s="52">
        <v>0</v>
      </c>
      <c r="L534" s="53">
        <v>0</v>
      </c>
      <c r="M534" s="53">
        <f>+J534*K534</f>
        <v>0</v>
      </c>
      <c r="N534" s="53">
        <f>+(J534-M534)*F534</f>
        <v>144</v>
      </c>
      <c r="O534" s="53">
        <f>+J534-M534+N534</f>
        <v>1344</v>
      </c>
      <c r="P534" s="95" t="s">
        <v>233</v>
      </c>
      <c r="Q534" s="95" t="s">
        <v>234</v>
      </c>
      <c r="R534" s="7" t="s">
        <v>25</v>
      </c>
    </row>
    <row r="535" spans="1:18" x14ac:dyDescent="0.25">
      <c r="B535" s="2" t="s">
        <v>21</v>
      </c>
      <c r="C535" s="15" t="s">
        <v>22</v>
      </c>
      <c r="D535" s="95"/>
      <c r="E535" s="95"/>
      <c r="F535" s="43"/>
      <c r="G535" s="7"/>
      <c r="H535" s="51"/>
      <c r="I535" s="51"/>
      <c r="J535" s="51"/>
      <c r="K535" s="52"/>
      <c r="L535" s="53"/>
      <c r="M535" s="53"/>
      <c r="N535" s="53"/>
      <c r="O535" s="53"/>
      <c r="P535" s="7"/>
      <c r="Q535" s="95"/>
      <c r="R535" s="7"/>
    </row>
    <row r="536" spans="1:18" ht="30" x14ac:dyDescent="0.25">
      <c r="B536" s="2" t="s">
        <v>23</v>
      </c>
      <c r="C536" s="8" t="s">
        <v>24</v>
      </c>
      <c r="D536" s="97"/>
      <c r="E536" s="95"/>
      <c r="F536" s="43"/>
      <c r="G536" s="7"/>
      <c r="H536" s="51"/>
      <c r="I536" s="51"/>
      <c r="J536" s="51"/>
      <c r="K536" s="52"/>
      <c r="L536" s="53"/>
      <c r="M536" s="53"/>
      <c r="N536" s="53"/>
      <c r="O536" s="53"/>
      <c r="P536" s="7"/>
      <c r="Q536" s="95"/>
      <c r="R536" s="7"/>
    </row>
    <row r="537" spans="1:18" x14ac:dyDescent="0.25">
      <c r="B537" s="2" t="s">
        <v>26</v>
      </c>
      <c r="C537" s="12" t="s">
        <v>22</v>
      </c>
      <c r="D537" s="97"/>
      <c r="E537" s="95"/>
      <c r="F537" s="43"/>
      <c r="G537" s="7"/>
      <c r="H537" s="51"/>
      <c r="I537" s="51"/>
      <c r="J537" s="51"/>
      <c r="K537" s="52"/>
      <c r="L537" s="53"/>
      <c r="M537" s="53"/>
      <c r="N537" s="53"/>
      <c r="O537" s="53"/>
      <c r="P537" s="7"/>
      <c r="Q537" s="95"/>
      <c r="R537" s="7"/>
    </row>
    <row r="538" spans="1:18" x14ac:dyDescent="0.25">
      <c r="B538" s="2" t="s">
        <v>27</v>
      </c>
      <c r="C538" s="3" t="s">
        <v>28</v>
      </c>
      <c r="D538" s="95"/>
      <c r="E538" s="95"/>
      <c r="F538" s="95"/>
      <c r="G538" s="95"/>
      <c r="H538" s="10"/>
      <c r="I538" s="10"/>
      <c r="J538" s="10"/>
      <c r="K538" s="10"/>
      <c r="L538" s="95"/>
      <c r="M538" s="10"/>
      <c r="N538" s="10"/>
      <c r="O538" s="11"/>
      <c r="P538" s="7"/>
      <c r="Q538" s="95"/>
      <c r="R538" s="7"/>
    </row>
    <row r="539" spans="1:18" x14ac:dyDescent="0.25">
      <c r="B539" s="2" t="s">
        <v>29</v>
      </c>
      <c r="C539" s="3">
        <v>1</v>
      </c>
      <c r="D539" s="95"/>
      <c r="E539" s="95"/>
      <c r="F539" s="95"/>
      <c r="G539" s="95"/>
      <c r="H539" s="10"/>
      <c r="I539" s="10"/>
      <c r="J539" s="10"/>
      <c r="K539" s="10"/>
      <c r="L539" s="95"/>
      <c r="M539" s="10"/>
      <c r="N539" s="10"/>
      <c r="O539" s="11"/>
      <c r="P539" s="95"/>
      <c r="Q539" s="95"/>
      <c r="R539" s="7"/>
    </row>
    <row r="540" spans="1:18" ht="15.75" thickBot="1" x14ac:dyDescent="0.3">
      <c r="B540" s="2" t="s">
        <v>30</v>
      </c>
      <c r="C540" s="7">
        <v>1121394013</v>
      </c>
      <c r="D540" s="39" t="s">
        <v>34</v>
      </c>
      <c r="E540" s="40">
        <f>+SUM(I534:I537)</f>
        <v>0</v>
      </c>
      <c r="F540" s="23"/>
      <c r="G540" s="23"/>
      <c r="H540" s="41"/>
      <c r="I540" s="41"/>
      <c r="J540" s="41"/>
      <c r="K540" s="41"/>
      <c r="L540" s="23"/>
      <c r="M540" s="41"/>
      <c r="N540" s="41"/>
      <c r="O540" s="42"/>
      <c r="P540" s="23"/>
      <c r="Q540" s="23"/>
      <c r="R540" s="22"/>
    </row>
    <row r="541" spans="1:18" ht="15.75" thickBot="1" x14ac:dyDescent="0.3">
      <c r="B541" s="2" t="s">
        <v>31</v>
      </c>
      <c r="C541" s="14">
        <v>43502</v>
      </c>
      <c r="D541" s="16" t="s">
        <v>36</v>
      </c>
      <c r="E541" s="17">
        <f>+SUM(J534:J539)</f>
        <v>1200</v>
      </c>
      <c r="F541" s="23"/>
      <c r="G541" s="23"/>
      <c r="H541" s="41"/>
      <c r="I541" s="41"/>
      <c r="J541" s="41"/>
      <c r="K541" s="41"/>
      <c r="L541" s="23"/>
      <c r="M541" s="41"/>
      <c r="N541" s="41"/>
      <c r="O541" s="42"/>
      <c r="P541" s="23"/>
      <c r="Q541" s="23"/>
      <c r="R541" s="22"/>
    </row>
    <row r="542" spans="1:18" ht="15.75" thickBot="1" x14ac:dyDescent="0.3">
      <c r="B542" s="2" t="s">
        <v>32</v>
      </c>
      <c r="C542" s="15" t="s">
        <v>157</v>
      </c>
      <c r="D542" s="16" t="s">
        <v>39</v>
      </c>
      <c r="E542" s="17">
        <f>SUM(M534:M539)</f>
        <v>0</v>
      </c>
      <c r="F542" s="23"/>
    </row>
    <row r="543" spans="1:18" ht="15.75" thickBot="1" x14ac:dyDescent="0.3">
      <c r="B543" s="2" t="s">
        <v>35</v>
      </c>
      <c r="C543" s="15" t="s">
        <v>231</v>
      </c>
      <c r="D543" s="16" t="s">
        <v>14</v>
      </c>
      <c r="E543" s="17">
        <f>SUM(N534:N539)</f>
        <v>144</v>
      </c>
      <c r="F543" s="23"/>
    </row>
    <row r="544" spans="1:18" ht="15.75" thickBot="1" x14ac:dyDescent="0.3">
      <c r="B544" s="2" t="s">
        <v>37</v>
      </c>
      <c r="C544" s="15" t="s">
        <v>257</v>
      </c>
      <c r="D544" s="16" t="s">
        <v>15</v>
      </c>
      <c r="E544" s="17">
        <f>SUM(O534:O539)</f>
        <v>1344</v>
      </c>
      <c r="F544" s="23"/>
    </row>
    <row r="545" spans="1:18" x14ac:dyDescent="0.25">
      <c r="B545" s="18"/>
      <c r="C545" s="18"/>
    </row>
    <row r="546" spans="1:18" x14ac:dyDescent="0.25">
      <c r="B546" s="18"/>
      <c r="C546" s="18"/>
    </row>
    <row r="547" spans="1:18" x14ac:dyDescent="0.25">
      <c r="B547" s="114" t="s">
        <v>457</v>
      </c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</row>
    <row r="548" spans="1:18" x14ac:dyDescent="0.25">
      <c r="B548" s="2" t="s">
        <v>86</v>
      </c>
      <c r="C548" s="21" t="s">
        <v>87</v>
      </c>
      <c r="D548" s="22"/>
      <c r="E548" s="23"/>
      <c r="F548" s="23"/>
      <c r="G548" s="23"/>
      <c r="H548" s="23"/>
      <c r="I548" s="23"/>
      <c r="J548" s="24"/>
      <c r="K548" s="24"/>
      <c r="L548" s="25"/>
      <c r="M548" s="26"/>
      <c r="N548" s="22"/>
      <c r="O548" s="22"/>
    </row>
    <row r="549" spans="1:18" x14ac:dyDescent="0.25">
      <c r="B549" s="2" t="s">
        <v>59</v>
      </c>
      <c r="C549" s="21" t="s">
        <v>88</v>
      </c>
      <c r="D549" s="22"/>
      <c r="E549" s="23"/>
      <c r="F549" s="23"/>
      <c r="G549" s="23"/>
      <c r="H549" s="23"/>
      <c r="I549" s="23"/>
      <c r="J549" s="24"/>
      <c r="K549" s="24"/>
      <c r="L549" s="25"/>
      <c r="M549" s="26"/>
      <c r="N549" s="22"/>
      <c r="O549" s="22"/>
    </row>
    <row r="550" spans="1:18" x14ac:dyDescent="0.25">
      <c r="B550" s="2" t="s">
        <v>60</v>
      </c>
      <c r="C550" s="21" t="s">
        <v>89</v>
      </c>
      <c r="D550" s="22"/>
      <c r="E550" s="28" t="s">
        <v>279</v>
      </c>
      <c r="F550" s="23"/>
      <c r="G550" s="23"/>
      <c r="H550" s="23"/>
      <c r="I550" s="23"/>
      <c r="J550" s="24"/>
      <c r="K550" s="24"/>
      <c r="L550" s="25"/>
      <c r="M550" s="26"/>
      <c r="N550" s="22"/>
      <c r="O550" s="22"/>
    </row>
    <row r="551" spans="1:18" x14ac:dyDescent="0.25">
      <c r="B551" s="2" t="s">
        <v>61</v>
      </c>
      <c r="C551" s="27">
        <f>+E544</f>
        <v>1344</v>
      </c>
      <c r="D551" s="22"/>
      <c r="E551" s="28"/>
      <c r="G551" s="23"/>
      <c r="H551" s="23"/>
      <c r="I551" s="24"/>
      <c r="J551" s="24"/>
      <c r="K551" s="25"/>
      <c r="L551" s="26"/>
      <c r="M551" s="22"/>
      <c r="N551" s="22"/>
    </row>
    <row r="554" spans="1:18" ht="26.25" x14ac:dyDescent="0.4">
      <c r="A554" s="34" t="s">
        <v>240</v>
      </c>
      <c r="B554" s="34" t="s">
        <v>94</v>
      </c>
      <c r="C554" s="1" t="s">
        <v>423</v>
      </c>
    </row>
    <row r="555" spans="1:18" x14ac:dyDescent="0.25">
      <c r="B555" s="112" t="s">
        <v>398</v>
      </c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</row>
    <row r="556" spans="1:18" x14ac:dyDescent="0.25">
      <c r="B556" s="2" t="s">
        <v>6</v>
      </c>
      <c r="C556" s="3" t="s">
        <v>229</v>
      </c>
      <c r="D556" s="100" t="s">
        <v>8</v>
      </c>
      <c r="E556" s="5" t="s">
        <v>9</v>
      </c>
      <c r="F556" s="5" t="s">
        <v>14</v>
      </c>
      <c r="G556" s="5" t="s">
        <v>10</v>
      </c>
      <c r="H556" s="5" t="s">
        <v>11</v>
      </c>
      <c r="I556" s="5" t="s">
        <v>148</v>
      </c>
      <c r="J556" s="5" t="s">
        <v>149</v>
      </c>
      <c r="K556" s="5" t="s">
        <v>12</v>
      </c>
      <c r="L556" s="5" t="s">
        <v>13</v>
      </c>
      <c r="M556" s="5" t="s">
        <v>40</v>
      </c>
      <c r="N556" s="5" t="s">
        <v>14</v>
      </c>
      <c r="O556" s="5" t="s">
        <v>15</v>
      </c>
      <c r="P556" s="5" t="s">
        <v>16</v>
      </c>
      <c r="Q556" s="5" t="s">
        <v>17</v>
      </c>
      <c r="R556" s="5" t="s">
        <v>18</v>
      </c>
    </row>
    <row r="557" spans="1:18" x14ac:dyDescent="0.25">
      <c r="B557" s="2" t="s">
        <v>19</v>
      </c>
      <c r="C557" s="15" t="s">
        <v>230</v>
      </c>
      <c r="D557" s="7">
        <v>1</v>
      </c>
      <c r="E557" s="95" t="s">
        <v>421</v>
      </c>
      <c r="F557" s="72">
        <v>0.12</v>
      </c>
      <c r="G557" s="7" t="s">
        <v>353</v>
      </c>
      <c r="H557" s="10">
        <v>590</v>
      </c>
      <c r="I557" s="51">
        <f>+IF(F557=0%,D557*H557,0)</f>
        <v>0</v>
      </c>
      <c r="J557" s="51">
        <f>+IF(F557=12%,D557*H557,0)</f>
        <v>590</v>
      </c>
      <c r="K557" s="52">
        <v>0</v>
      </c>
      <c r="L557" s="53">
        <v>0</v>
      </c>
      <c r="M557" s="53">
        <f>+J557*K557</f>
        <v>0</v>
      </c>
      <c r="N557" s="53">
        <f>+(J557-M557)*F557</f>
        <v>70.8</v>
      </c>
      <c r="O557" s="53">
        <f>+J557-M557+N557</f>
        <v>660.8</v>
      </c>
      <c r="P557" s="95" t="s">
        <v>233</v>
      </c>
      <c r="Q557" s="95" t="s">
        <v>234</v>
      </c>
      <c r="R557" s="7" t="s">
        <v>25</v>
      </c>
    </row>
    <row r="558" spans="1:18" x14ac:dyDescent="0.25">
      <c r="B558" s="2" t="s">
        <v>21</v>
      </c>
      <c r="C558" s="15" t="s">
        <v>22</v>
      </c>
      <c r="D558" s="95"/>
      <c r="E558" s="95"/>
      <c r="F558" s="43"/>
      <c r="G558" s="7"/>
      <c r="H558" s="51"/>
      <c r="I558" s="51"/>
      <c r="J558" s="51"/>
      <c r="K558" s="52"/>
      <c r="L558" s="53"/>
      <c r="M558" s="53"/>
      <c r="N558" s="53"/>
      <c r="O558" s="53"/>
      <c r="P558" s="7"/>
      <c r="Q558" s="95"/>
      <c r="R558" s="7"/>
    </row>
    <row r="559" spans="1:18" ht="30" x14ac:dyDescent="0.25">
      <c r="B559" s="2" t="s">
        <v>23</v>
      </c>
      <c r="C559" s="8" t="s">
        <v>24</v>
      </c>
      <c r="D559" s="97"/>
      <c r="E559" s="95"/>
      <c r="F559" s="43"/>
      <c r="G559" s="7"/>
      <c r="H559" s="51"/>
      <c r="I559" s="51"/>
      <c r="J559" s="51"/>
      <c r="K559" s="52"/>
      <c r="L559" s="53"/>
      <c r="M559" s="53"/>
      <c r="N559" s="53"/>
      <c r="O559" s="53"/>
      <c r="P559" s="7"/>
      <c r="Q559" s="95"/>
      <c r="R559" s="7"/>
    </row>
    <row r="560" spans="1:18" x14ac:dyDescent="0.25">
      <c r="B560" s="2" t="s">
        <v>26</v>
      </c>
      <c r="C560" s="12" t="s">
        <v>22</v>
      </c>
      <c r="D560" s="97"/>
      <c r="E560" s="95"/>
      <c r="F560" s="43"/>
      <c r="G560" s="7"/>
      <c r="H560" s="51"/>
      <c r="I560" s="51"/>
      <c r="J560" s="51"/>
      <c r="K560" s="52"/>
      <c r="L560" s="53"/>
      <c r="M560" s="53"/>
      <c r="N560" s="53"/>
      <c r="O560" s="53"/>
      <c r="P560" s="7"/>
      <c r="Q560" s="95"/>
      <c r="R560" s="7"/>
    </row>
    <row r="561" spans="2:18" x14ac:dyDescent="0.25">
      <c r="B561" s="2" t="s">
        <v>27</v>
      </c>
      <c r="C561" s="3" t="s">
        <v>28</v>
      </c>
      <c r="D561" s="97"/>
      <c r="E561" s="95"/>
      <c r="F561" s="95"/>
      <c r="G561" s="95"/>
      <c r="H561" s="10"/>
      <c r="I561" s="10"/>
      <c r="J561" s="10"/>
      <c r="K561" s="10"/>
      <c r="L561" s="95"/>
      <c r="M561" s="10"/>
      <c r="N561" s="10"/>
      <c r="O561" s="11"/>
      <c r="P561" s="7"/>
      <c r="Q561" s="95"/>
      <c r="R561" s="7"/>
    </row>
    <row r="562" spans="2:18" ht="15.75" thickBot="1" x14ac:dyDescent="0.3">
      <c r="B562" s="2" t="s">
        <v>29</v>
      </c>
      <c r="C562" s="3">
        <v>1</v>
      </c>
      <c r="D562" s="97"/>
      <c r="E562" s="95"/>
      <c r="F562" s="95"/>
      <c r="G562" s="95"/>
      <c r="H562" s="10"/>
      <c r="I562" s="10"/>
      <c r="J562" s="10"/>
      <c r="K562" s="10"/>
      <c r="L562" s="95"/>
      <c r="M562" s="10"/>
      <c r="N562" s="10"/>
      <c r="O562" s="11"/>
      <c r="P562" s="95"/>
      <c r="Q562" s="95"/>
      <c r="R562" s="7"/>
    </row>
    <row r="563" spans="2:18" ht="15.75" thickBot="1" x14ac:dyDescent="0.3">
      <c r="B563" s="2" t="s">
        <v>30</v>
      </c>
      <c r="C563" s="7">
        <v>1121394013</v>
      </c>
      <c r="D563" s="16" t="s">
        <v>34</v>
      </c>
      <c r="E563" s="40">
        <f>+SUM(I557:I560)</f>
        <v>0</v>
      </c>
    </row>
    <row r="564" spans="2:18" ht="15.75" thickBot="1" x14ac:dyDescent="0.3">
      <c r="B564" s="2" t="s">
        <v>31</v>
      </c>
      <c r="C564" s="14">
        <v>43502</v>
      </c>
      <c r="D564" s="16" t="s">
        <v>36</v>
      </c>
      <c r="E564" s="17">
        <f>+SUM(J557:J562)</f>
        <v>590</v>
      </c>
    </row>
    <row r="565" spans="2:18" ht="15.75" thickBot="1" x14ac:dyDescent="0.3">
      <c r="B565" s="2" t="s">
        <v>32</v>
      </c>
      <c r="C565" s="15" t="s">
        <v>157</v>
      </c>
      <c r="D565" s="16" t="s">
        <v>39</v>
      </c>
      <c r="E565" s="17">
        <f>SUM(M557:M562)</f>
        <v>0</v>
      </c>
    </row>
    <row r="566" spans="2:18" ht="15.75" thickBot="1" x14ac:dyDescent="0.3">
      <c r="B566" s="2" t="s">
        <v>35</v>
      </c>
      <c r="C566" s="15" t="s">
        <v>231</v>
      </c>
      <c r="D566" s="16" t="s">
        <v>14</v>
      </c>
      <c r="E566" s="17">
        <f>SUM(N557:N562)</f>
        <v>70.8</v>
      </c>
    </row>
    <row r="567" spans="2:18" ht="15.75" thickBot="1" x14ac:dyDescent="0.3">
      <c r="B567" s="2" t="s">
        <v>37</v>
      </c>
      <c r="C567" s="15" t="s">
        <v>258</v>
      </c>
      <c r="D567" s="16" t="s">
        <v>15</v>
      </c>
      <c r="E567" s="17">
        <f>SUM(O557:O562)</f>
        <v>660.8</v>
      </c>
    </row>
    <row r="568" spans="2:18" x14ac:dyDescent="0.25">
      <c r="B568" s="18"/>
      <c r="C568" s="18"/>
    </row>
    <row r="570" spans="2:18" x14ac:dyDescent="0.25">
      <c r="B570" s="114" t="s">
        <v>457</v>
      </c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</row>
    <row r="571" spans="2:18" x14ac:dyDescent="0.25">
      <c r="B571" s="2" t="s">
        <v>86</v>
      </c>
      <c r="C571" s="21" t="s">
        <v>87</v>
      </c>
    </row>
    <row r="572" spans="2:18" x14ac:dyDescent="0.25">
      <c r="B572" s="2" t="s">
        <v>59</v>
      </c>
      <c r="C572" s="21" t="s">
        <v>90</v>
      </c>
      <c r="E572" s="31" t="s">
        <v>279</v>
      </c>
    </row>
    <row r="573" spans="2:18" x14ac:dyDescent="0.25">
      <c r="B573" s="2" t="s">
        <v>60</v>
      </c>
      <c r="C573" s="21" t="s">
        <v>91</v>
      </c>
    </row>
    <row r="574" spans="2:18" x14ac:dyDescent="0.25">
      <c r="B574" s="2" t="s">
        <v>61</v>
      </c>
      <c r="C574" s="27">
        <f>+E567</f>
        <v>660.8</v>
      </c>
    </row>
    <row r="577" spans="1:18" ht="26.25" x14ac:dyDescent="0.4">
      <c r="A577" s="34" t="s">
        <v>240</v>
      </c>
      <c r="B577" s="34" t="s">
        <v>140</v>
      </c>
      <c r="C577" s="1" t="s">
        <v>424</v>
      </c>
    </row>
    <row r="578" spans="1:18" x14ac:dyDescent="0.25">
      <c r="B578" s="112" t="s">
        <v>398</v>
      </c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</row>
    <row r="579" spans="1:18" x14ac:dyDescent="0.25">
      <c r="B579" s="2" t="s">
        <v>6</v>
      </c>
      <c r="C579" s="3" t="s">
        <v>235</v>
      </c>
      <c r="D579" s="100" t="s">
        <v>8</v>
      </c>
      <c r="E579" s="5" t="s">
        <v>9</v>
      </c>
      <c r="F579" s="5" t="s">
        <v>14</v>
      </c>
      <c r="G579" s="5" t="s">
        <v>10</v>
      </c>
      <c r="H579" s="5" t="s">
        <v>11</v>
      </c>
      <c r="I579" s="5" t="s">
        <v>148</v>
      </c>
      <c r="J579" s="5" t="s">
        <v>149</v>
      </c>
      <c r="K579" s="5" t="s">
        <v>12</v>
      </c>
      <c r="L579" s="5" t="s">
        <v>13</v>
      </c>
      <c r="M579" s="5" t="s">
        <v>40</v>
      </c>
      <c r="N579" s="5" t="s">
        <v>14</v>
      </c>
      <c r="O579" s="5" t="s">
        <v>15</v>
      </c>
      <c r="P579" s="5" t="s">
        <v>16</v>
      </c>
      <c r="Q579" s="5" t="s">
        <v>17</v>
      </c>
      <c r="R579" s="5" t="s">
        <v>18</v>
      </c>
    </row>
    <row r="580" spans="1:18" x14ac:dyDescent="0.25">
      <c r="B580" s="2" t="s">
        <v>19</v>
      </c>
      <c r="C580" s="33" t="s">
        <v>236</v>
      </c>
      <c r="D580" s="7">
        <v>36</v>
      </c>
      <c r="E580" t="s">
        <v>425</v>
      </c>
      <c r="F580" s="72">
        <v>0.12</v>
      </c>
      <c r="G580" t="s">
        <v>354</v>
      </c>
      <c r="H580" s="51">
        <v>2.5</v>
      </c>
      <c r="I580" s="51">
        <f>+IF(F580=0%,D580*H580,0)</f>
        <v>0</v>
      </c>
      <c r="J580" s="51">
        <f>+IF(F580=12%,D580*H580,0)</f>
        <v>90</v>
      </c>
      <c r="K580" s="52">
        <v>0</v>
      </c>
      <c r="L580" s="53">
        <v>0</v>
      </c>
      <c r="M580" s="53">
        <f>+J580*K580</f>
        <v>0</v>
      </c>
      <c r="N580" s="53">
        <f>+(J580-M580)*F580</f>
        <v>10.799999999999999</v>
      </c>
      <c r="O580" s="53">
        <f>+J580-M580+N580</f>
        <v>100.8</v>
      </c>
      <c r="P580" s="95" t="s">
        <v>237</v>
      </c>
      <c r="Q580" s="95" t="s">
        <v>238</v>
      </c>
      <c r="R580" s="7" t="s">
        <v>25</v>
      </c>
    </row>
    <row r="581" spans="1:18" x14ac:dyDescent="0.25">
      <c r="B581" s="2" t="s">
        <v>21</v>
      </c>
      <c r="C581" s="15" t="s">
        <v>22</v>
      </c>
      <c r="D581" s="7"/>
      <c r="E581" s="95"/>
      <c r="F581" s="43"/>
      <c r="G581" s="35"/>
      <c r="H581" s="51"/>
      <c r="I581" s="51"/>
      <c r="J581" s="51"/>
      <c r="K581" s="52"/>
      <c r="L581" s="53"/>
      <c r="M581" s="53"/>
      <c r="N581" s="53"/>
      <c r="O581" s="53"/>
      <c r="P581" s="7"/>
      <c r="Q581" s="95"/>
      <c r="R581" s="7"/>
    </row>
    <row r="582" spans="1:18" ht="30" x14ac:dyDescent="0.25">
      <c r="B582" s="2" t="s">
        <v>23</v>
      </c>
      <c r="C582" s="8" t="s">
        <v>24</v>
      </c>
      <c r="D582" s="7"/>
      <c r="E582" s="95"/>
      <c r="F582" s="43"/>
      <c r="G582" s="35"/>
      <c r="H582" s="51"/>
      <c r="I582" s="51"/>
      <c r="J582" s="51"/>
      <c r="K582" s="52"/>
      <c r="L582" s="53"/>
      <c r="M582" s="53"/>
      <c r="N582" s="53"/>
      <c r="O582" s="53"/>
      <c r="P582" s="7"/>
      <c r="Q582" s="95"/>
      <c r="R582" s="7"/>
    </row>
    <row r="583" spans="1:18" x14ac:dyDescent="0.25">
      <c r="B583" s="2" t="s">
        <v>26</v>
      </c>
      <c r="C583" s="12" t="s">
        <v>22</v>
      </c>
      <c r="D583" s="7"/>
      <c r="E583" s="95"/>
      <c r="F583" s="43"/>
      <c r="G583" s="35"/>
      <c r="H583" s="51"/>
      <c r="I583" s="51"/>
      <c r="J583" s="51"/>
      <c r="K583" s="52"/>
      <c r="L583" s="53"/>
      <c r="M583" s="53"/>
      <c r="N583" s="53"/>
      <c r="O583" s="53"/>
      <c r="P583" s="7"/>
      <c r="Q583" s="95"/>
      <c r="R583" s="7"/>
    </row>
    <row r="584" spans="1:18" x14ac:dyDescent="0.25">
      <c r="B584" s="2" t="s">
        <v>27</v>
      </c>
      <c r="C584" s="3" t="s">
        <v>28</v>
      </c>
      <c r="D584" s="97"/>
      <c r="E584" s="95"/>
      <c r="F584" s="95"/>
      <c r="G584" s="95"/>
      <c r="H584" s="10"/>
      <c r="I584" s="10"/>
      <c r="J584" s="10"/>
      <c r="K584" s="10"/>
      <c r="L584" s="95"/>
      <c r="M584" s="10"/>
      <c r="N584" s="10"/>
      <c r="O584" s="11"/>
      <c r="P584" s="7"/>
      <c r="Q584" s="95"/>
      <c r="R584" s="7"/>
    </row>
    <row r="585" spans="1:18" ht="15.75" thickBot="1" x14ac:dyDescent="0.3">
      <c r="B585" s="2" t="s">
        <v>29</v>
      </c>
      <c r="C585" s="3">
        <v>1</v>
      </c>
      <c r="D585" s="97"/>
      <c r="E585" s="95"/>
      <c r="F585" s="95"/>
      <c r="G585" s="95"/>
      <c r="H585" s="10"/>
      <c r="I585" s="10"/>
      <c r="J585" s="10"/>
      <c r="K585" s="10"/>
      <c r="L585" s="95"/>
      <c r="M585" s="10"/>
      <c r="N585" s="10"/>
      <c r="O585" s="11"/>
      <c r="P585" s="95"/>
      <c r="Q585" s="95"/>
      <c r="R585" s="7"/>
    </row>
    <row r="586" spans="1:18" ht="15.75" thickBot="1" x14ac:dyDescent="0.3">
      <c r="B586" s="2" t="s">
        <v>30</v>
      </c>
      <c r="C586" s="3">
        <v>1120885317</v>
      </c>
      <c r="D586" s="16" t="s">
        <v>34</v>
      </c>
      <c r="E586" s="40">
        <f>+SUM(I580:I583)</f>
        <v>0</v>
      </c>
    </row>
    <row r="587" spans="1:18" ht="15.75" thickBot="1" x14ac:dyDescent="0.3">
      <c r="B587" s="2" t="s">
        <v>31</v>
      </c>
      <c r="C587" s="21">
        <v>43503</v>
      </c>
      <c r="D587" s="16" t="s">
        <v>36</v>
      </c>
      <c r="E587" s="17">
        <f>+SUM(J580:J585)</f>
        <v>90</v>
      </c>
    </row>
    <row r="588" spans="1:18" ht="15.75" thickBot="1" x14ac:dyDescent="0.3">
      <c r="B588" s="2" t="s">
        <v>32</v>
      </c>
      <c r="C588" s="15" t="s">
        <v>33</v>
      </c>
      <c r="D588" s="16" t="s">
        <v>39</v>
      </c>
      <c r="E588" s="17">
        <f>SUM(M580:M585)</f>
        <v>0</v>
      </c>
    </row>
    <row r="589" spans="1:18" ht="15.75" thickBot="1" x14ac:dyDescent="0.3">
      <c r="B589" s="2" t="s">
        <v>35</v>
      </c>
      <c r="C589" s="15" t="s">
        <v>33</v>
      </c>
      <c r="D589" s="16" t="s">
        <v>14</v>
      </c>
      <c r="E589" s="17">
        <f>SUM(N580:N585)</f>
        <v>10.799999999999999</v>
      </c>
    </row>
    <row r="590" spans="1:18" ht="15.75" thickBot="1" x14ac:dyDescent="0.3">
      <c r="B590" s="2" t="s">
        <v>37</v>
      </c>
      <c r="C590" s="15" t="s">
        <v>259</v>
      </c>
      <c r="D590" s="16" t="s">
        <v>15</v>
      </c>
      <c r="E590" s="17">
        <f>SUM(O580:O585)</f>
        <v>100.8</v>
      </c>
    </row>
    <row r="591" spans="1:18" x14ac:dyDescent="0.25">
      <c r="B591" s="18"/>
      <c r="C591" s="18"/>
    </row>
    <row r="592" spans="1:18" x14ac:dyDescent="0.25">
      <c r="B592" s="18"/>
      <c r="C592" s="18"/>
    </row>
    <row r="593" spans="1:18" x14ac:dyDescent="0.25">
      <c r="B593" s="114" t="s">
        <v>457</v>
      </c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</row>
    <row r="594" spans="1:18" x14ac:dyDescent="0.25">
      <c r="B594" s="2" t="s">
        <v>86</v>
      </c>
      <c r="C594" s="21" t="s">
        <v>143</v>
      </c>
    </row>
    <row r="595" spans="1:18" x14ac:dyDescent="0.25">
      <c r="B595" s="2" t="s">
        <v>58</v>
      </c>
      <c r="C595" s="21" t="s">
        <v>144</v>
      </c>
    </row>
    <row r="596" spans="1:18" x14ac:dyDescent="0.25">
      <c r="B596" s="2" t="s">
        <v>60</v>
      </c>
      <c r="C596" s="21" t="s">
        <v>74</v>
      </c>
      <c r="E596" s="31" t="s">
        <v>279</v>
      </c>
    </row>
    <row r="597" spans="1:18" x14ac:dyDescent="0.25">
      <c r="B597" s="2" t="s">
        <v>61</v>
      </c>
      <c r="C597" s="27">
        <f>+E590</f>
        <v>100.8</v>
      </c>
    </row>
    <row r="600" spans="1:18" ht="26.25" x14ac:dyDescent="0.4">
      <c r="A600" s="34" t="s">
        <v>240</v>
      </c>
      <c r="B600" s="34" t="s">
        <v>142</v>
      </c>
      <c r="C600" s="1" t="s">
        <v>426</v>
      </c>
    </row>
    <row r="601" spans="1:18" x14ac:dyDescent="0.25">
      <c r="B601" s="112" t="s">
        <v>398</v>
      </c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</row>
    <row r="602" spans="1:18" x14ac:dyDescent="0.25">
      <c r="B602" s="2" t="s">
        <v>6</v>
      </c>
      <c r="C602" s="3" t="s">
        <v>235</v>
      </c>
      <c r="D602" s="100" t="s">
        <v>8</v>
      </c>
      <c r="E602" s="5" t="s">
        <v>9</v>
      </c>
      <c r="F602" s="5" t="s">
        <v>14</v>
      </c>
      <c r="G602" s="5" t="s">
        <v>10</v>
      </c>
      <c r="H602" s="5" t="s">
        <v>11</v>
      </c>
      <c r="I602" s="5" t="s">
        <v>148</v>
      </c>
      <c r="J602" s="5" t="s">
        <v>149</v>
      </c>
      <c r="K602" s="5" t="s">
        <v>12</v>
      </c>
      <c r="L602" s="5" t="s">
        <v>13</v>
      </c>
      <c r="M602" s="5" t="s">
        <v>40</v>
      </c>
      <c r="N602" s="5" t="s">
        <v>14</v>
      </c>
      <c r="O602" s="5" t="s">
        <v>15</v>
      </c>
      <c r="P602" s="5" t="s">
        <v>16</v>
      </c>
      <c r="Q602" s="5" t="s">
        <v>17</v>
      </c>
      <c r="R602" s="5" t="s">
        <v>18</v>
      </c>
    </row>
    <row r="603" spans="1:18" x14ac:dyDescent="0.25">
      <c r="B603" s="2" t="s">
        <v>19</v>
      </c>
      <c r="C603" s="33" t="s">
        <v>236</v>
      </c>
      <c r="D603" s="7">
        <v>36</v>
      </c>
      <c r="E603" t="s">
        <v>425</v>
      </c>
      <c r="F603" s="72">
        <v>0.12</v>
      </c>
      <c r="G603" t="s">
        <v>355</v>
      </c>
      <c r="H603" s="51">
        <v>2.5</v>
      </c>
      <c r="I603" s="51">
        <f>+IF(F603=0%,D603*H603,0)</f>
        <v>0</v>
      </c>
      <c r="J603" s="51">
        <f>+IF(F603=12%,D603*H603,0)</f>
        <v>90</v>
      </c>
      <c r="K603" s="52">
        <v>0</v>
      </c>
      <c r="L603" s="53">
        <v>0</v>
      </c>
      <c r="M603" s="53">
        <f>+J603*K603</f>
        <v>0</v>
      </c>
      <c r="N603" s="53">
        <f>+(J603-M603)*F603</f>
        <v>10.799999999999999</v>
      </c>
      <c r="O603" s="53">
        <f>+J603-M603+N603</f>
        <v>100.8</v>
      </c>
      <c r="P603" s="95" t="s">
        <v>237</v>
      </c>
      <c r="Q603" s="95" t="s">
        <v>238</v>
      </c>
      <c r="R603" s="7" t="s">
        <v>25</v>
      </c>
    </row>
    <row r="604" spans="1:18" x14ac:dyDescent="0.25">
      <c r="B604" s="2" t="s">
        <v>21</v>
      </c>
      <c r="C604" s="15" t="s">
        <v>22</v>
      </c>
      <c r="D604" s="7"/>
      <c r="E604" s="95"/>
      <c r="F604" s="43"/>
      <c r="G604" s="35"/>
      <c r="H604" s="51"/>
      <c r="I604" s="51"/>
      <c r="J604" s="51"/>
      <c r="K604" s="52"/>
      <c r="L604" s="53"/>
      <c r="M604" s="53"/>
      <c r="N604" s="53"/>
      <c r="O604" s="53"/>
      <c r="P604" s="7"/>
      <c r="Q604" s="95"/>
      <c r="R604" s="7"/>
    </row>
    <row r="605" spans="1:18" ht="30" x14ac:dyDescent="0.25">
      <c r="B605" s="2" t="s">
        <v>23</v>
      </c>
      <c r="C605" s="8" t="s">
        <v>24</v>
      </c>
      <c r="D605" s="7"/>
      <c r="E605" s="95"/>
      <c r="F605" s="43"/>
      <c r="G605" s="35"/>
      <c r="H605" s="51"/>
      <c r="I605" s="51"/>
      <c r="J605" s="51"/>
      <c r="K605" s="52"/>
      <c r="L605" s="53"/>
      <c r="M605" s="53"/>
      <c r="N605" s="53"/>
      <c r="O605" s="53"/>
      <c r="P605" s="7"/>
      <c r="Q605" s="95"/>
      <c r="R605" s="7"/>
    </row>
    <row r="606" spans="1:18" x14ac:dyDescent="0.25">
      <c r="B606" s="2" t="s">
        <v>26</v>
      </c>
      <c r="C606" s="12" t="s">
        <v>22</v>
      </c>
      <c r="D606" s="7"/>
      <c r="E606" s="95"/>
      <c r="F606" s="43"/>
      <c r="G606" s="35"/>
      <c r="H606" s="51"/>
      <c r="I606" s="51"/>
      <c r="J606" s="51"/>
      <c r="K606" s="52"/>
      <c r="L606" s="53"/>
      <c r="M606" s="53"/>
      <c r="N606" s="53"/>
      <c r="O606" s="53"/>
      <c r="P606" s="7"/>
      <c r="Q606" s="95"/>
      <c r="R606" s="7"/>
    </row>
    <row r="607" spans="1:18" x14ac:dyDescent="0.25">
      <c r="B607" s="2" t="s">
        <v>27</v>
      </c>
      <c r="C607" s="3" t="s">
        <v>28</v>
      </c>
      <c r="D607" s="97"/>
      <c r="E607" s="95"/>
      <c r="F607" s="95"/>
      <c r="G607" s="95"/>
      <c r="H607" s="10"/>
      <c r="I607" s="10"/>
      <c r="J607" s="10"/>
      <c r="K607" s="10"/>
      <c r="L607" s="95"/>
      <c r="M607" s="10"/>
      <c r="N607" s="10"/>
      <c r="O607" s="11"/>
      <c r="P607" s="7"/>
      <c r="Q607" s="95"/>
      <c r="R607" s="7"/>
    </row>
    <row r="608" spans="1:18" ht="15.75" thickBot="1" x14ac:dyDescent="0.3">
      <c r="B608" s="2" t="s">
        <v>29</v>
      </c>
      <c r="C608" s="3">
        <v>1</v>
      </c>
      <c r="D608" s="97"/>
      <c r="E608" s="95"/>
      <c r="F608" s="95"/>
      <c r="G608" s="95"/>
      <c r="H608" s="10"/>
      <c r="I608" s="10"/>
      <c r="J608" s="10"/>
      <c r="K608" s="10"/>
      <c r="L608" s="95"/>
      <c r="M608" s="10"/>
      <c r="N608" s="10"/>
      <c r="O608" s="11"/>
      <c r="P608" s="95"/>
      <c r="Q608" s="95"/>
      <c r="R608" s="7"/>
    </row>
    <row r="609" spans="2:15" ht="15.75" thickBot="1" x14ac:dyDescent="0.3">
      <c r="B609" s="2" t="s">
        <v>30</v>
      </c>
      <c r="C609" s="3">
        <v>1120885317</v>
      </c>
      <c r="D609" s="16" t="s">
        <v>34</v>
      </c>
      <c r="E609" s="40">
        <f>+SUM(I603:I606)</f>
        <v>0</v>
      </c>
    </row>
    <row r="610" spans="2:15" ht="15.75" thickBot="1" x14ac:dyDescent="0.3">
      <c r="B610" s="2" t="s">
        <v>31</v>
      </c>
      <c r="C610" s="21">
        <v>43503</v>
      </c>
      <c r="D610" s="16" t="s">
        <v>36</v>
      </c>
      <c r="E610" s="17">
        <f>+SUM(J603:J608)</f>
        <v>90</v>
      </c>
    </row>
    <row r="611" spans="2:15" ht="15.75" thickBot="1" x14ac:dyDescent="0.3">
      <c r="B611" s="2" t="s">
        <v>32</v>
      </c>
      <c r="C611" s="15" t="s">
        <v>33</v>
      </c>
      <c r="D611" s="16" t="s">
        <v>39</v>
      </c>
      <c r="E611" s="17">
        <f>SUM(M603:M608)</f>
        <v>0</v>
      </c>
    </row>
    <row r="612" spans="2:15" ht="15.75" thickBot="1" x14ac:dyDescent="0.3">
      <c r="B612" s="2" t="s">
        <v>35</v>
      </c>
      <c r="C612" s="15" t="s">
        <v>33</v>
      </c>
      <c r="D612" s="16" t="s">
        <v>14</v>
      </c>
      <c r="E612" s="17">
        <f>SUM(N603:N608)</f>
        <v>10.799999999999999</v>
      </c>
    </row>
    <row r="613" spans="2:15" ht="15.75" thickBot="1" x14ac:dyDescent="0.3">
      <c r="B613" s="2" t="s">
        <v>37</v>
      </c>
      <c r="C613" s="15" t="s">
        <v>260</v>
      </c>
      <c r="D613" s="16" t="s">
        <v>15</v>
      </c>
      <c r="E613" s="17">
        <f>SUM(O603:O608)</f>
        <v>100.8</v>
      </c>
    </row>
    <row r="614" spans="2:15" x14ac:dyDescent="0.25">
      <c r="B614" s="18"/>
      <c r="C614" s="18"/>
    </row>
    <row r="616" spans="2:15" x14ac:dyDescent="0.25">
      <c r="B616" s="114" t="s">
        <v>457</v>
      </c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</row>
    <row r="617" spans="2:15" x14ac:dyDescent="0.25">
      <c r="B617" s="2" t="s">
        <v>57</v>
      </c>
      <c r="C617" s="21" t="str">
        <f>+C611</f>
        <v>001</v>
      </c>
    </row>
    <row r="618" spans="2:15" x14ac:dyDescent="0.25">
      <c r="B618" s="2" t="s">
        <v>86</v>
      </c>
      <c r="C618" s="21" t="s">
        <v>143</v>
      </c>
    </row>
    <row r="619" spans="2:15" x14ac:dyDescent="0.25">
      <c r="B619" s="2" t="s">
        <v>58</v>
      </c>
      <c r="C619" s="21" t="s">
        <v>73</v>
      </c>
      <c r="E619" s="31" t="s">
        <v>279</v>
      </c>
    </row>
    <row r="620" spans="2:15" x14ac:dyDescent="0.25">
      <c r="B620" s="2" t="s">
        <v>60</v>
      </c>
      <c r="C620" s="21" t="s">
        <v>74</v>
      </c>
      <c r="D620" s="95" t="s">
        <v>154</v>
      </c>
    </row>
    <row r="621" spans="2:15" x14ac:dyDescent="0.25">
      <c r="B621" s="2" t="s">
        <v>61</v>
      </c>
      <c r="C621" s="27">
        <f>+(E613)*D621</f>
        <v>30.24</v>
      </c>
      <c r="D621" s="43">
        <v>0.3</v>
      </c>
    </row>
    <row r="622" spans="2:15" x14ac:dyDescent="0.25">
      <c r="B622" s="2" t="s">
        <v>60</v>
      </c>
      <c r="C622" s="21" t="s">
        <v>75</v>
      </c>
      <c r="D622" s="95" t="s">
        <v>154</v>
      </c>
    </row>
    <row r="623" spans="2:15" x14ac:dyDescent="0.25">
      <c r="B623" s="2" t="s">
        <v>61</v>
      </c>
      <c r="C623" s="27">
        <f>+(E613)*D623</f>
        <v>30.24</v>
      </c>
      <c r="D623" s="43">
        <v>0.3</v>
      </c>
      <c r="E623" s="28"/>
      <c r="F623" s="28"/>
      <c r="H623" s="23"/>
      <c r="I623" s="23"/>
      <c r="J623" s="24"/>
      <c r="K623" s="24"/>
      <c r="L623" s="25"/>
      <c r="M623" s="26"/>
      <c r="N623" s="22"/>
      <c r="O623" s="22"/>
    </row>
    <row r="624" spans="2:15" x14ac:dyDescent="0.25">
      <c r="B624" s="2" t="s">
        <v>58</v>
      </c>
      <c r="C624" s="21" t="s">
        <v>76</v>
      </c>
      <c r="D624" s="95"/>
    </row>
    <row r="625" spans="1:18" x14ac:dyDescent="0.25">
      <c r="B625" s="2" t="s">
        <v>60</v>
      </c>
      <c r="C625" s="21" t="s">
        <v>89</v>
      </c>
      <c r="D625" s="95" t="s">
        <v>154</v>
      </c>
    </row>
    <row r="626" spans="1:18" x14ac:dyDescent="0.25">
      <c r="B626" s="2" t="s">
        <v>61</v>
      </c>
      <c r="C626" s="27">
        <f>+(E613)*D626</f>
        <v>40.32</v>
      </c>
      <c r="D626" s="43">
        <v>0.4</v>
      </c>
    </row>
    <row r="627" spans="1:18" x14ac:dyDescent="0.25">
      <c r="C627" s="36"/>
    </row>
    <row r="628" spans="1:18" x14ac:dyDescent="0.25">
      <c r="C628" s="36"/>
    </row>
    <row r="629" spans="1:18" ht="26.25" x14ac:dyDescent="0.4">
      <c r="A629" s="34" t="s">
        <v>240</v>
      </c>
      <c r="B629" s="34" t="s">
        <v>145</v>
      </c>
      <c r="C629" s="1" t="s">
        <v>427</v>
      </c>
    </row>
    <row r="630" spans="1:18" x14ac:dyDescent="0.25">
      <c r="B630" s="112" t="s">
        <v>398</v>
      </c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</row>
    <row r="631" spans="1:18" x14ac:dyDescent="0.25">
      <c r="B631" s="2" t="s">
        <v>6</v>
      </c>
      <c r="C631" s="3" t="s">
        <v>235</v>
      </c>
      <c r="D631" s="100" t="s">
        <v>8</v>
      </c>
      <c r="E631" s="5" t="s">
        <v>9</v>
      </c>
      <c r="F631" s="5" t="s">
        <v>14</v>
      </c>
      <c r="G631" s="5" t="s">
        <v>10</v>
      </c>
      <c r="H631" s="5" t="s">
        <v>11</v>
      </c>
      <c r="I631" s="5" t="s">
        <v>148</v>
      </c>
      <c r="J631" s="5" t="s">
        <v>149</v>
      </c>
      <c r="K631" s="5" t="s">
        <v>12</v>
      </c>
      <c r="L631" s="5" t="s">
        <v>13</v>
      </c>
      <c r="M631" s="5" t="s">
        <v>40</v>
      </c>
      <c r="N631" s="5" t="s">
        <v>14</v>
      </c>
      <c r="O631" s="5" t="s">
        <v>15</v>
      </c>
      <c r="P631" s="5" t="s">
        <v>16</v>
      </c>
      <c r="Q631" s="5" t="s">
        <v>17</v>
      </c>
      <c r="R631" s="5" t="s">
        <v>18</v>
      </c>
    </row>
    <row r="632" spans="1:18" x14ac:dyDescent="0.25">
      <c r="B632" s="2" t="s">
        <v>19</v>
      </c>
      <c r="C632" s="33" t="s">
        <v>236</v>
      </c>
      <c r="D632" s="7">
        <v>36</v>
      </c>
      <c r="E632" t="s">
        <v>425</v>
      </c>
      <c r="F632" s="72">
        <v>0.12</v>
      </c>
      <c r="G632" t="s">
        <v>356</v>
      </c>
      <c r="H632" s="51">
        <v>8.9700000000000006</v>
      </c>
      <c r="I632" s="51">
        <f>+IF(F632=0%,D632*H632,0)</f>
        <v>0</v>
      </c>
      <c r="J632" s="51">
        <f>+IF(F632=12%,D632*H632,0)</f>
        <v>322.92</v>
      </c>
      <c r="K632" s="52">
        <v>0</v>
      </c>
      <c r="L632" s="53">
        <v>0</v>
      </c>
      <c r="M632" s="53">
        <f>+J632*K632</f>
        <v>0</v>
      </c>
      <c r="N632" s="53">
        <f>+(J632-M632)*F632</f>
        <v>38.750399999999999</v>
      </c>
      <c r="O632" s="53">
        <f>+J632-M632+N632</f>
        <v>361.67040000000003</v>
      </c>
      <c r="P632" s="95" t="s">
        <v>237</v>
      </c>
      <c r="Q632" s="95" t="s">
        <v>238</v>
      </c>
      <c r="R632" s="7" t="s">
        <v>25</v>
      </c>
    </row>
    <row r="633" spans="1:18" x14ac:dyDescent="0.25">
      <c r="B633" s="2" t="s">
        <v>21</v>
      </c>
      <c r="C633" s="15" t="s">
        <v>22</v>
      </c>
      <c r="D633" s="7"/>
      <c r="E633" s="95"/>
      <c r="F633" s="43"/>
      <c r="G633" s="35"/>
      <c r="H633" s="51"/>
      <c r="I633" s="51"/>
      <c r="J633" s="51"/>
      <c r="K633" s="52"/>
      <c r="L633" s="53"/>
      <c r="M633" s="53"/>
      <c r="N633" s="53"/>
      <c r="O633" s="53"/>
      <c r="P633" s="7"/>
      <c r="Q633" s="95"/>
      <c r="R633" s="7"/>
    </row>
    <row r="634" spans="1:18" ht="30" x14ac:dyDescent="0.25">
      <c r="B634" s="2" t="s">
        <v>23</v>
      </c>
      <c r="C634" s="8" t="s">
        <v>24</v>
      </c>
      <c r="D634" s="7"/>
      <c r="E634" s="95"/>
      <c r="F634" s="43"/>
      <c r="G634" s="35"/>
      <c r="H634" s="51"/>
      <c r="I634" s="51"/>
      <c r="J634" s="51"/>
      <c r="K634" s="52"/>
      <c r="L634" s="53"/>
      <c r="M634" s="53"/>
      <c r="N634" s="53"/>
      <c r="O634" s="53"/>
      <c r="P634" s="7"/>
      <c r="Q634" s="95"/>
      <c r="R634" s="7"/>
    </row>
    <row r="635" spans="1:18" x14ac:dyDescent="0.25">
      <c r="B635" s="2" t="s">
        <v>26</v>
      </c>
      <c r="C635" s="12" t="s">
        <v>22</v>
      </c>
      <c r="D635" s="7"/>
      <c r="E635" s="95"/>
      <c r="F635" s="43"/>
      <c r="G635" s="35"/>
      <c r="H635" s="51"/>
      <c r="I635" s="51"/>
      <c r="J635" s="51"/>
      <c r="K635" s="52"/>
      <c r="L635" s="53"/>
      <c r="M635" s="53"/>
      <c r="N635" s="53"/>
      <c r="O635" s="53"/>
      <c r="P635" s="7"/>
      <c r="Q635" s="95"/>
      <c r="R635" s="7"/>
    </row>
    <row r="636" spans="1:18" x14ac:dyDescent="0.25">
      <c r="B636" s="2" t="s">
        <v>27</v>
      </c>
      <c r="C636" s="3" t="s">
        <v>28</v>
      </c>
      <c r="D636" s="97"/>
      <c r="E636" s="95"/>
      <c r="F636" s="95"/>
      <c r="G636" s="95"/>
      <c r="H636" s="10"/>
      <c r="I636" s="10"/>
      <c r="J636" s="10"/>
      <c r="K636" s="10"/>
      <c r="L636" s="95"/>
      <c r="M636" s="10"/>
      <c r="N636" s="10"/>
      <c r="O636" s="11"/>
      <c r="P636" s="7"/>
      <c r="Q636" s="95"/>
      <c r="R636" s="7"/>
    </row>
    <row r="637" spans="1:18" ht="15.75" thickBot="1" x14ac:dyDescent="0.3">
      <c r="B637" s="2" t="s">
        <v>29</v>
      </c>
      <c r="C637" s="3">
        <v>1</v>
      </c>
      <c r="D637" s="97"/>
      <c r="E637" s="95"/>
      <c r="F637" s="95"/>
      <c r="G637" s="95"/>
      <c r="H637" s="10"/>
      <c r="I637" s="10"/>
      <c r="J637" s="10"/>
      <c r="K637" s="10"/>
      <c r="L637" s="95"/>
      <c r="M637" s="10"/>
      <c r="N637" s="10"/>
      <c r="O637" s="11"/>
      <c r="P637" s="95"/>
      <c r="Q637" s="95"/>
      <c r="R637" s="7"/>
    </row>
    <row r="638" spans="1:18" ht="15.75" thickBot="1" x14ac:dyDescent="0.3">
      <c r="B638" s="2" t="s">
        <v>30</v>
      </c>
      <c r="C638" s="3">
        <v>1120885317</v>
      </c>
      <c r="D638" s="16" t="s">
        <v>34</v>
      </c>
      <c r="E638" s="40">
        <f>+SUM(I632:I635)</f>
        <v>0</v>
      </c>
    </row>
    <row r="639" spans="1:18" ht="15.75" thickBot="1" x14ac:dyDescent="0.3">
      <c r="B639" s="2" t="s">
        <v>31</v>
      </c>
      <c r="C639" s="21">
        <v>43503</v>
      </c>
      <c r="D639" s="16" t="s">
        <v>36</v>
      </c>
      <c r="E639" s="17">
        <f>+SUM(J632:J637)</f>
        <v>322.92</v>
      </c>
    </row>
    <row r="640" spans="1:18" ht="15.75" thickBot="1" x14ac:dyDescent="0.3">
      <c r="B640" s="2" t="s">
        <v>32</v>
      </c>
      <c r="C640" s="15" t="s">
        <v>33</v>
      </c>
      <c r="D640" s="16" t="s">
        <v>39</v>
      </c>
      <c r="E640" s="17">
        <f>SUM(M632:M637)</f>
        <v>0</v>
      </c>
    </row>
    <row r="641" spans="1:18" ht="15.75" thickBot="1" x14ac:dyDescent="0.3">
      <c r="B641" s="2" t="s">
        <v>35</v>
      </c>
      <c r="C641" s="15" t="s">
        <v>33</v>
      </c>
      <c r="D641" s="16" t="s">
        <v>14</v>
      </c>
      <c r="E641" s="17">
        <f>SUM(N632:N637)</f>
        <v>38.750399999999999</v>
      </c>
    </row>
    <row r="642" spans="1:18" ht="15.75" thickBot="1" x14ac:dyDescent="0.3">
      <c r="B642" s="2" t="s">
        <v>37</v>
      </c>
      <c r="C642" s="15" t="s">
        <v>261</v>
      </c>
      <c r="D642" s="16" t="s">
        <v>15</v>
      </c>
      <c r="E642" s="17">
        <f>SUM(O632:O637)</f>
        <v>361.67040000000003</v>
      </c>
    </row>
    <row r="643" spans="1:18" x14ac:dyDescent="0.25">
      <c r="B643" s="18"/>
      <c r="C643" s="18"/>
    </row>
    <row r="645" spans="1:18" x14ac:dyDescent="0.25">
      <c r="B645" s="114" t="s">
        <v>457</v>
      </c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</row>
    <row r="646" spans="1:18" x14ac:dyDescent="0.25">
      <c r="B646" s="2" t="s">
        <v>86</v>
      </c>
      <c r="C646" s="21" t="s">
        <v>143</v>
      </c>
    </row>
    <row r="647" spans="1:18" x14ac:dyDescent="0.25">
      <c r="B647" s="2" t="s">
        <v>58</v>
      </c>
      <c r="C647" s="21" t="s">
        <v>73</v>
      </c>
    </row>
    <row r="648" spans="1:18" x14ac:dyDescent="0.25">
      <c r="B648" s="2" t="s">
        <v>60</v>
      </c>
      <c r="C648" s="21" t="s">
        <v>74</v>
      </c>
      <c r="D648" s="95" t="s">
        <v>154</v>
      </c>
    </row>
    <row r="649" spans="1:18" x14ac:dyDescent="0.25">
      <c r="B649" s="2" t="s">
        <v>61</v>
      </c>
      <c r="C649" s="27">
        <f>+(E642)*D649</f>
        <v>217.00224</v>
      </c>
      <c r="D649" s="43">
        <v>0.6</v>
      </c>
    </row>
    <row r="650" spans="1:18" x14ac:dyDescent="0.25">
      <c r="B650" s="2" t="s">
        <v>147</v>
      </c>
      <c r="C650" s="21" t="s">
        <v>84</v>
      </c>
      <c r="E650" s="31" t="s">
        <v>279</v>
      </c>
    </row>
    <row r="651" spans="1:18" x14ac:dyDescent="0.25">
      <c r="B651" s="2" t="s">
        <v>60</v>
      </c>
      <c r="C651" s="21" t="s">
        <v>85</v>
      </c>
      <c r="D651" s="95" t="s">
        <v>154</v>
      </c>
    </row>
    <row r="652" spans="1:18" x14ac:dyDescent="0.25">
      <c r="B652" s="2" t="s">
        <v>61</v>
      </c>
      <c r="C652" s="27">
        <f>+(E642)*D652</f>
        <v>144.66816000000003</v>
      </c>
      <c r="D652" s="43">
        <v>0.4</v>
      </c>
    </row>
    <row r="654" spans="1:18" s="71" customFormat="1" x14ac:dyDescent="0.25"/>
    <row r="655" spans="1:18" ht="26.25" x14ac:dyDescent="0.4">
      <c r="A655" s="34" t="s">
        <v>268</v>
      </c>
      <c r="B655" s="34" t="s">
        <v>92</v>
      </c>
      <c r="C655" s="1" t="s">
        <v>428</v>
      </c>
    </row>
    <row r="656" spans="1:18" x14ac:dyDescent="0.25">
      <c r="B656" s="112" t="s">
        <v>398</v>
      </c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</row>
    <row r="657" spans="2:18" x14ac:dyDescent="0.25">
      <c r="B657" s="2" t="s">
        <v>6</v>
      </c>
      <c r="C657" s="3" t="s">
        <v>7</v>
      </c>
      <c r="D657" s="100" t="s">
        <v>8</v>
      </c>
      <c r="E657" s="5" t="s">
        <v>9</v>
      </c>
      <c r="F657" s="5" t="s">
        <v>14</v>
      </c>
      <c r="G657" s="5" t="s">
        <v>10</v>
      </c>
      <c r="H657" s="5" t="s">
        <v>11</v>
      </c>
      <c r="I657" s="5" t="s">
        <v>148</v>
      </c>
      <c r="J657" s="5" t="s">
        <v>149</v>
      </c>
      <c r="K657" s="5" t="s">
        <v>12</v>
      </c>
      <c r="L657" s="5" t="s">
        <v>13</v>
      </c>
      <c r="M657" s="5" t="s">
        <v>40</v>
      </c>
      <c r="N657" s="5" t="s">
        <v>14</v>
      </c>
      <c r="O657" s="5" t="s">
        <v>15</v>
      </c>
      <c r="P657" s="5" t="s">
        <v>16</v>
      </c>
      <c r="Q657" s="5" t="s">
        <v>17</v>
      </c>
      <c r="R657" s="5" t="s">
        <v>18</v>
      </c>
    </row>
    <row r="658" spans="2:18" x14ac:dyDescent="0.25">
      <c r="B658" s="2" t="s">
        <v>19</v>
      </c>
      <c r="C658" s="6" t="s">
        <v>20</v>
      </c>
      <c r="D658" s="95">
        <v>61</v>
      </c>
      <c r="E658" s="95" t="s">
        <v>41</v>
      </c>
      <c r="F658" s="43">
        <v>0.12</v>
      </c>
      <c r="G658" s="7" t="s">
        <v>104</v>
      </c>
      <c r="H658" s="51">
        <v>1.45</v>
      </c>
      <c r="I658" s="51">
        <f>+IF(F658=0%,D658*H658,0)</f>
        <v>0</v>
      </c>
      <c r="J658" s="51">
        <f>+IF(F658=12%,D658*H658,0)</f>
        <v>88.45</v>
      </c>
      <c r="K658" s="52">
        <v>0</v>
      </c>
      <c r="L658" s="53">
        <v>0</v>
      </c>
      <c r="M658" s="53">
        <f>+J658*K658</f>
        <v>0</v>
      </c>
      <c r="N658" s="53">
        <f>+(J658-M658)*F658</f>
        <v>10.614000000000001</v>
      </c>
      <c r="O658" s="53">
        <f>+J658-M658+N658</f>
        <v>99.064000000000007</v>
      </c>
      <c r="P658" s="7" t="s">
        <v>45</v>
      </c>
      <c r="Q658" s="7" t="s">
        <v>46</v>
      </c>
      <c r="R658" s="7" t="s">
        <v>45</v>
      </c>
    </row>
    <row r="659" spans="2:18" x14ac:dyDescent="0.25">
      <c r="B659" s="2" t="s">
        <v>21</v>
      </c>
      <c r="C659" s="15" t="s">
        <v>22</v>
      </c>
      <c r="D659" s="95">
        <v>56.21</v>
      </c>
      <c r="E659" s="95" t="s">
        <v>42</v>
      </c>
      <c r="F659" s="43">
        <v>0.12</v>
      </c>
      <c r="G659" s="7" t="s">
        <v>106</v>
      </c>
      <c r="H659" s="51">
        <v>2.96</v>
      </c>
      <c r="I659" s="51">
        <f>+IF(F659=0%,D659*H659,0)</f>
        <v>0</v>
      </c>
      <c r="J659" s="51">
        <f>+IF(F659=12%,D659*H659,0)</f>
        <v>166.38159999999999</v>
      </c>
      <c r="K659" s="52">
        <v>0</v>
      </c>
      <c r="L659" s="53">
        <v>0</v>
      </c>
      <c r="M659" s="53">
        <f>+J659*K659</f>
        <v>0</v>
      </c>
      <c r="N659" s="53">
        <f>+(J659-M659)*F659</f>
        <v>19.965791999999997</v>
      </c>
      <c r="O659" s="53">
        <f>+J659-M659+N659</f>
        <v>186.34739199999999</v>
      </c>
      <c r="P659" s="7" t="s">
        <v>45</v>
      </c>
      <c r="Q659" s="95" t="s">
        <v>46</v>
      </c>
      <c r="R659" s="7" t="s">
        <v>45</v>
      </c>
    </row>
    <row r="660" spans="2:18" ht="30" x14ac:dyDescent="0.25">
      <c r="B660" s="2" t="s">
        <v>23</v>
      </c>
      <c r="C660" s="8" t="s">
        <v>70</v>
      </c>
      <c r="D660" s="97">
        <v>49</v>
      </c>
      <c r="E660" s="95" t="s">
        <v>43</v>
      </c>
      <c r="F660" s="43">
        <v>0.12</v>
      </c>
      <c r="G660" s="7" t="s">
        <v>108</v>
      </c>
      <c r="H660" s="51">
        <v>3.15</v>
      </c>
      <c r="I660" s="51">
        <f>+IF(F660=0%,D660*H660,0)</f>
        <v>0</v>
      </c>
      <c r="J660" s="51">
        <f>+IF(F660=12%,D660*H660,0)</f>
        <v>154.35</v>
      </c>
      <c r="K660" s="52">
        <v>0</v>
      </c>
      <c r="L660" s="53">
        <v>0</v>
      </c>
      <c r="M660" s="53">
        <f>+J660*K660</f>
        <v>0</v>
      </c>
      <c r="N660" s="53">
        <f>+(J660-M660)*F660</f>
        <v>18.521999999999998</v>
      </c>
      <c r="O660" s="53">
        <f>+J660-M660+N660</f>
        <v>172.87199999999999</v>
      </c>
      <c r="P660" s="7" t="s">
        <v>45</v>
      </c>
      <c r="Q660" s="95" t="s">
        <v>46</v>
      </c>
      <c r="R660" s="7" t="s">
        <v>45</v>
      </c>
    </row>
    <row r="661" spans="2:18" x14ac:dyDescent="0.25">
      <c r="B661" s="2" t="s">
        <v>26</v>
      </c>
      <c r="C661" s="12" t="s">
        <v>71</v>
      </c>
      <c r="D661" s="97">
        <v>12.2</v>
      </c>
      <c r="E661" s="95" t="s">
        <v>44</v>
      </c>
      <c r="F661" s="43">
        <v>0.12</v>
      </c>
      <c r="G661" s="7" t="s">
        <v>110</v>
      </c>
      <c r="H661" s="51">
        <v>1.25</v>
      </c>
      <c r="I661" s="51">
        <f>+IF(F661=0%,D661*H661,0)</f>
        <v>0</v>
      </c>
      <c r="J661" s="51">
        <f>+IF(F661=12%,D661*H661,0)</f>
        <v>15.25</v>
      </c>
      <c r="K661" s="52">
        <v>0</v>
      </c>
      <c r="L661" s="53">
        <v>0</v>
      </c>
      <c r="M661" s="53">
        <f>+J661*K661</f>
        <v>0</v>
      </c>
      <c r="N661" s="53">
        <f>+(J661-M661)*F661</f>
        <v>1.8299999999999998</v>
      </c>
      <c r="O661" s="53">
        <f>+J661-M661+N661</f>
        <v>17.079999999999998</v>
      </c>
      <c r="P661" s="7" t="s">
        <v>45</v>
      </c>
      <c r="Q661" s="95" t="s">
        <v>46</v>
      </c>
      <c r="R661" s="7" t="s">
        <v>45</v>
      </c>
    </row>
    <row r="662" spans="2:18" x14ac:dyDescent="0.25">
      <c r="B662" s="2" t="s">
        <v>27</v>
      </c>
      <c r="C662" s="3" t="s">
        <v>28</v>
      </c>
      <c r="D662" s="95">
        <v>1</v>
      </c>
      <c r="E662" t="s">
        <v>429</v>
      </c>
      <c r="F662" s="43">
        <v>0.12</v>
      </c>
      <c r="G662" t="s">
        <v>357</v>
      </c>
      <c r="H662" s="10">
        <v>250</v>
      </c>
      <c r="I662" s="10">
        <f>+IF(F662=0%,D662*H662,0)</f>
        <v>0</v>
      </c>
      <c r="J662" s="10">
        <f>+IF(F662=12%,D662*H662,0)</f>
        <v>250</v>
      </c>
      <c r="K662" s="52">
        <v>0</v>
      </c>
      <c r="L662" s="53">
        <v>0</v>
      </c>
      <c r="M662" s="53">
        <f>+J662*K662</f>
        <v>0</v>
      </c>
      <c r="N662" s="53">
        <f>+(J662-M662)*F662</f>
        <v>30</v>
      </c>
      <c r="O662" s="53">
        <f>+J662-M662+N662</f>
        <v>280</v>
      </c>
      <c r="P662" s="35" t="s">
        <v>275</v>
      </c>
      <c r="Q662" s="95" t="s">
        <v>274</v>
      </c>
      <c r="R662" s="7" t="s">
        <v>25</v>
      </c>
    </row>
    <row r="663" spans="2:18" x14ac:dyDescent="0.25">
      <c r="B663" s="2" t="s">
        <v>29</v>
      </c>
      <c r="C663" s="3">
        <v>1</v>
      </c>
      <c r="D663" s="95"/>
      <c r="E663" s="95"/>
      <c r="F663" s="95"/>
      <c r="G663" s="95"/>
      <c r="H663" s="10"/>
      <c r="I663" s="10"/>
      <c r="J663" s="10"/>
      <c r="K663" s="10"/>
      <c r="L663" s="95"/>
      <c r="M663" s="10"/>
      <c r="N663" s="10"/>
      <c r="O663" s="11"/>
      <c r="P663" s="95"/>
      <c r="Q663" s="95"/>
      <c r="R663" s="7"/>
    </row>
    <row r="664" spans="2:18" ht="15.75" thickBot="1" x14ac:dyDescent="0.3">
      <c r="B664" s="2" t="s">
        <v>30</v>
      </c>
      <c r="C664" s="7">
        <v>1120335551</v>
      </c>
      <c r="D664" s="39" t="s">
        <v>148</v>
      </c>
      <c r="E664" s="49">
        <f>+SUM(I658:I661)</f>
        <v>0</v>
      </c>
      <c r="G664" s="23"/>
      <c r="H664" s="41"/>
      <c r="I664" s="41"/>
      <c r="J664" s="41"/>
      <c r="K664" s="41"/>
      <c r="L664" s="23"/>
      <c r="M664" s="41"/>
      <c r="N664" s="41"/>
      <c r="O664" s="42"/>
      <c r="P664" s="23"/>
      <c r="Q664" s="23"/>
      <c r="R664" s="22"/>
    </row>
    <row r="665" spans="2:18" ht="15.75" thickBot="1" x14ac:dyDescent="0.3">
      <c r="B665" s="2" t="s">
        <v>31</v>
      </c>
      <c r="C665" s="14">
        <v>43504</v>
      </c>
      <c r="D665" s="16" t="s">
        <v>36</v>
      </c>
      <c r="E665" s="50">
        <f>+SUM(J658:J663)</f>
        <v>674.4316</v>
      </c>
      <c r="G665" s="23"/>
      <c r="H665" s="41"/>
      <c r="I665" s="41"/>
      <c r="J665" s="41"/>
      <c r="K665" s="41"/>
      <c r="L665" s="23"/>
      <c r="M665" s="41"/>
      <c r="N665" s="41"/>
      <c r="O665" s="42"/>
      <c r="P665" s="23"/>
      <c r="Q665" s="23"/>
      <c r="R665" s="22"/>
    </row>
    <row r="666" spans="2:18" ht="15.75" thickBot="1" x14ac:dyDescent="0.3">
      <c r="B666" s="2" t="s">
        <v>32</v>
      </c>
      <c r="C666" s="15" t="s">
        <v>33</v>
      </c>
      <c r="D666" s="16" t="s">
        <v>39</v>
      </c>
      <c r="E666" s="50">
        <f>SUM(M658:M663)</f>
        <v>0</v>
      </c>
    </row>
    <row r="667" spans="2:18" ht="15.75" thickBot="1" x14ac:dyDescent="0.3">
      <c r="B667" s="2" t="s">
        <v>35</v>
      </c>
      <c r="C667" s="15" t="s">
        <v>33</v>
      </c>
      <c r="D667" s="16" t="s">
        <v>14</v>
      </c>
      <c r="E667" s="50">
        <f>SUM(N658:N663)</f>
        <v>80.931792000000002</v>
      </c>
    </row>
    <row r="668" spans="2:18" ht="15.75" thickBot="1" x14ac:dyDescent="0.3">
      <c r="B668" s="2" t="s">
        <v>37</v>
      </c>
      <c r="C668" s="15" t="s">
        <v>269</v>
      </c>
      <c r="D668" s="16" t="s">
        <v>15</v>
      </c>
      <c r="E668" s="50">
        <f>SUM(O658:O663)</f>
        <v>755.36339199999998</v>
      </c>
    </row>
    <row r="669" spans="2:18" x14ac:dyDescent="0.25">
      <c r="B669" s="18"/>
      <c r="C669" s="18"/>
    </row>
    <row r="670" spans="2:18" x14ac:dyDescent="0.25">
      <c r="B670" s="18"/>
      <c r="C670" s="18"/>
    </row>
    <row r="671" spans="2:18" x14ac:dyDescent="0.25">
      <c r="B671" s="114" t="s">
        <v>399</v>
      </c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</row>
    <row r="672" spans="2:18" x14ac:dyDescent="0.25">
      <c r="B672" s="2" t="s">
        <v>48</v>
      </c>
      <c r="C672" s="15" t="s">
        <v>33</v>
      </c>
      <c r="D672" s="19" t="s">
        <v>16</v>
      </c>
      <c r="E672" s="115" t="s">
        <v>152</v>
      </c>
      <c r="F672" s="116"/>
      <c r="G672" s="99" t="s">
        <v>150</v>
      </c>
      <c r="H672" s="117" t="s">
        <v>49</v>
      </c>
      <c r="I672" s="118"/>
      <c r="J672" s="117" t="s">
        <v>151</v>
      </c>
      <c r="K672" s="118"/>
      <c r="L672" s="5" t="s">
        <v>50</v>
      </c>
      <c r="M672" s="5" t="s">
        <v>51</v>
      </c>
      <c r="N672" s="117" t="s">
        <v>155</v>
      </c>
      <c r="O672" s="118"/>
    </row>
    <row r="673" spans="1:18" x14ac:dyDescent="0.25">
      <c r="B673" s="2" t="s">
        <v>52</v>
      </c>
      <c r="C673" s="15" t="s">
        <v>33</v>
      </c>
      <c r="D673" s="95" t="s">
        <v>166</v>
      </c>
      <c r="E673" s="119" t="s">
        <v>463</v>
      </c>
      <c r="F673" s="119"/>
      <c r="G673" s="96">
        <v>731</v>
      </c>
      <c r="H673" s="120" t="s">
        <v>14</v>
      </c>
      <c r="I673" s="121"/>
      <c r="J673" s="122">
        <v>1</v>
      </c>
      <c r="K673" s="123"/>
      <c r="L673" s="54">
        <f>+E667*J673</f>
        <v>80.931792000000002</v>
      </c>
      <c r="M673" s="131">
        <f>+L673+L674</f>
        <v>87.676107999999999</v>
      </c>
      <c r="N673" s="133">
        <f>+E668-M673</f>
        <v>667.68728399999998</v>
      </c>
      <c r="O673" s="134"/>
    </row>
    <row r="674" spans="1:18" x14ac:dyDescent="0.25">
      <c r="B674" s="2" t="s">
        <v>53</v>
      </c>
      <c r="C674" s="15" t="s">
        <v>162</v>
      </c>
      <c r="D674" s="95" t="s">
        <v>165</v>
      </c>
      <c r="E674" s="119" t="s">
        <v>462</v>
      </c>
      <c r="F674" s="119"/>
      <c r="G674" s="96">
        <v>309</v>
      </c>
      <c r="H674" s="120" t="s">
        <v>153</v>
      </c>
      <c r="I674" s="121"/>
      <c r="J674" s="122">
        <v>0.01</v>
      </c>
      <c r="K674" s="123"/>
      <c r="L674" s="54">
        <f>(E665+E664-E666)*J674</f>
        <v>6.7443160000000004</v>
      </c>
      <c r="M674" s="132"/>
      <c r="N674" s="135"/>
      <c r="O674" s="136"/>
    </row>
    <row r="675" spans="1:18" x14ac:dyDescent="0.25">
      <c r="B675" s="2" t="s">
        <v>55</v>
      </c>
      <c r="C675" s="3" t="str">
        <f>+CONCATENATE(C666,"-",C667,"-",C668)</f>
        <v>001-001-120</v>
      </c>
    </row>
    <row r="676" spans="1:18" x14ac:dyDescent="0.25">
      <c r="B676" s="2" t="s">
        <v>57</v>
      </c>
      <c r="C676" s="21">
        <f>+C665</f>
        <v>43504</v>
      </c>
    </row>
    <row r="677" spans="1:18" x14ac:dyDescent="0.25">
      <c r="B677" s="2" t="s">
        <v>86</v>
      </c>
      <c r="C677" s="21" t="s">
        <v>87</v>
      </c>
      <c r="D677" s="22"/>
      <c r="E677" s="28" t="s">
        <v>279</v>
      </c>
      <c r="F677" s="23"/>
      <c r="H677" s="23"/>
      <c r="I677" s="23"/>
      <c r="J677" s="24"/>
      <c r="K677" s="24"/>
      <c r="L677" s="25"/>
      <c r="M677" s="26"/>
      <c r="N677" s="22"/>
      <c r="O677" s="22"/>
    </row>
    <row r="678" spans="1:18" x14ac:dyDescent="0.25">
      <c r="B678" s="2" t="s">
        <v>59</v>
      </c>
      <c r="C678" s="21" t="s">
        <v>84</v>
      </c>
      <c r="D678" s="22"/>
      <c r="E678" s="110" t="s">
        <v>330</v>
      </c>
      <c r="F678" s="23"/>
      <c r="H678" s="23"/>
      <c r="I678" s="23"/>
      <c r="J678" s="24"/>
      <c r="K678" s="24"/>
      <c r="L678" s="25"/>
      <c r="M678" s="26"/>
      <c r="N678" s="22"/>
      <c r="O678" s="22"/>
    </row>
    <row r="679" spans="1:18" x14ac:dyDescent="0.25">
      <c r="B679" s="2" t="s">
        <v>60</v>
      </c>
      <c r="C679" s="21" t="s">
        <v>85</v>
      </c>
      <c r="D679" s="22"/>
      <c r="E679" s="23"/>
      <c r="F679" s="23"/>
      <c r="H679" s="23"/>
      <c r="I679" s="23"/>
      <c r="J679" s="24"/>
      <c r="K679" s="24"/>
      <c r="L679" s="25"/>
      <c r="M679" s="26"/>
      <c r="N679" s="22"/>
      <c r="O679" s="22"/>
    </row>
    <row r="680" spans="1:18" x14ac:dyDescent="0.25">
      <c r="B680" s="2" t="s">
        <v>61</v>
      </c>
      <c r="C680" s="27">
        <f>+E668-M673</f>
        <v>667.68728399999998</v>
      </c>
      <c r="D680" s="22"/>
      <c r="E680" s="28"/>
      <c r="G680" s="23"/>
      <c r="H680" s="24"/>
      <c r="I680" s="24"/>
      <c r="J680" s="24"/>
      <c r="K680" s="25"/>
      <c r="L680" s="26"/>
      <c r="M680" s="22"/>
      <c r="N680" s="22"/>
    </row>
    <row r="683" spans="1:18" ht="26.25" x14ac:dyDescent="0.4">
      <c r="A683" s="34" t="s">
        <v>268</v>
      </c>
      <c r="B683" s="34" t="s">
        <v>93</v>
      </c>
      <c r="C683" s="1" t="s">
        <v>430</v>
      </c>
    </row>
    <row r="684" spans="1:18" x14ac:dyDescent="0.25">
      <c r="B684" s="112" t="s">
        <v>398</v>
      </c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</row>
    <row r="685" spans="1:18" x14ac:dyDescent="0.25">
      <c r="B685" s="2" t="s">
        <v>6</v>
      </c>
      <c r="C685" s="3" t="s">
        <v>7</v>
      </c>
      <c r="D685" s="100" t="s">
        <v>8</v>
      </c>
      <c r="E685" s="5" t="s">
        <v>9</v>
      </c>
      <c r="F685" s="5" t="s">
        <v>14</v>
      </c>
      <c r="G685" s="5" t="s">
        <v>10</v>
      </c>
      <c r="H685" s="5" t="s">
        <v>11</v>
      </c>
      <c r="I685" s="5" t="s">
        <v>148</v>
      </c>
      <c r="J685" s="5" t="s">
        <v>149</v>
      </c>
      <c r="K685" s="5" t="s">
        <v>12</v>
      </c>
      <c r="L685" s="5" t="s">
        <v>13</v>
      </c>
      <c r="M685" s="5" t="s">
        <v>40</v>
      </c>
      <c r="N685" s="5" t="s">
        <v>14</v>
      </c>
      <c r="O685" s="5" t="s">
        <v>15</v>
      </c>
      <c r="P685" s="5" t="s">
        <v>16</v>
      </c>
      <c r="Q685" s="5" t="s">
        <v>17</v>
      </c>
      <c r="R685" s="5" t="s">
        <v>18</v>
      </c>
    </row>
    <row r="686" spans="1:18" x14ac:dyDescent="0.25">
      <c r="B686" s="2" t="s">
        <v>19</v>
      </c>
      <c r="C686" s="6" t="s">
        <v>20</v>
      </c>
      <c r="D686" s="95">
        <v>61</v>
      </c>
      <c r="E686" s="95" t="s">
        <v>41</v>
      </c>
      <c r="F686" s="43">
        <v>0.12</v>
      </c>
      <c r="G686" s="7" t="s">
        <v>104</v>
      </c>
      <c r="H686" s="51">
        <v>1.45</v>
      </c>
      <c r="I686" s="51">
        <f>+IF(F686=0%,D686*H686,0)</f>
        <v>0</v>
      </c>
      <c r="J686" s="51">
        <f>+IF(F686=12%,D686*H686,0)</f>
        <v>88.45</v>
      </c>
      <c r="K686" s="52">
        <v>0</v>
      </c>
      <c r="L686" s="53">
        <v>0</v>
      </c>
      <c r="M686" s="53">
        <f>+J686*K686</f>
        <v>0</v>
      </c>
      <c r="N686" s="53">
        <f>+(J686-M686)*F686</f>
        <v>10.614000000000001</v>
      </c>
      <c r="O686" s="53">
        <f>+J686-M686+N686</f>
        <v>99.064000000000007</v>
      </c>
      <c r="P686" s="7" t="s">
        <v>45</v>
      </c>
      <c r="Q686" s="7" t="s">
        <v>46</v>
      </c>
      <c r="R686" s="7" t="s">
        <v>45</v>
      </c>
    </row>
    <row r="687" spans="1:18" x14ac:dyDescent="0.25">
      <c r="B687" s="2" t="s">
        <v>21</v>
      </c>
      <c r="C687" s="15" t="s">
        <v>22</v>
      </c>
      <c r="D687" s="95">
        <v>56.21</v>
      </c>
      <c r="E687" s="95" t="s">
        <v>42</v>
      </c>
      <c r="F687" s="43">
        <v>0.12</v>
      </c>
      <c r="G687" s="7" t="s">
        <v>106</v>
      </c>
      <c r="H687" s="51">
        <v>2.96</v>
      </c>
      <c r="I687" s="51">
        <f>+IF(F687=0%,D687*H687,0)</f>
        <v>0</v>
      </c>
      <c r="J687" s="51">
        <f>+IF(F687=12%,D687*H687,0)</f>
        <v>166.38159999999999</v>
      </c>
      <c r="K687" s="52">
        <v>0</v>
      </c>
      <c r="L687" s="53">
        <v>0</v>
      </c>
      <c r="M687" s="53">
        <f>+J687*K687</f>
        <v>0</v>
      </c>
      <c r="N687" s="53">
        <f>+(J687-M687)*F687</f>
        <v>19.965791999999997</v>
      </c>
      <c r="O687" s="53">
        <f>+J687-M687+N687</f>
        <v>186.34739199999999</v>
      </c>
      <c r="P687" s="7" t="s">
        <v>45</v>
      </c>
      <c r="Q687" s="95" t="s">
        <v>46</v>
      </c>
      <c r="R687" s="7" t="s">
        <v>45</v>
      </c>
    </row>
    <row r="688" spans="1:18" ht="30" x14ac:dyDescent="0.25">
      <c r="B688" s="2" t="s">
        <v>23</v>
      </c>
      <c r="C688" s="30" t="s">
        <v>70</v>
      </c>
      <c r="D688" s="97">
        <v>49</v>
      </c>
      <c r="E688" s="95" t="s">
        <v>43</v>
      </c>
      <c r="F688" s="43">
        <v>0.12</v>
      </c>
      <c r="G688" s="7" t="s">
        <v>108</v>
      </c>
      <c r="H688" s="51">
        <v>3.15</v>
      </c>
      <c r="I688" s="51">
        <f>+IF(F688=0%,D688*H688,0)</f>
        <v>0</v>
      </c>
      <c r="J688" s="51">
        <f>+IF(F688=12%,D688*H688,0)</f>
        <v>154.35</v>
      </c>
      <c r="K688" s="52">
        <v>0</v>
      </c>
      <c r="L688" s="53">
        <v>0</v>
      </c>
      <c r="M688" s="53">
        <f>+J688*K688</f>
        <v>0</v>
      </c>
      <c r="N688" s="53">
        <f>+(J688-M688)*F688</f>
        <v>18.521999999999998</v>
      </c>
      <c r="O688" s="53">
        <f>+J688-M688+N688</f>
        <v>172.87199999999999</v>
      </c>
      <c r="P688" s="7" t="s">
        <v>45</v>
      </c>
      <c r="Q688" s="95" t="s">
        <v>46</v>
      </c>
      <c r="R688" s="7" t="s">
        <v>45</v>
      </c>
    </row>
    <row r="689" spans="2:18" x14ac:dyDescent="0.25">
      <c r="B689" s="2" t="s">
        <v>26</v>
      </c>
      <c r="C689" s="12" t="s">
        <v>71</v>
      </c>
      <c r="D689" s="97">
        <v>12.2</v>
      </c>
      <c r="E689" s="95" t="s">
        <v>44</v>
      </c>
      <c r="F689" s="43">
        <v>0.12</v>
      </c>
      <c r="G689" s="7" t="s">
        <v>110</v>
      </c>
      <c r="H689" s="51">
        <v>1.25</v>
      </c>
      <c r="I689" s="51">
        <f>+IF(F689=0%,D689*H689,0)</f>
        <v>0</v>
      </c>
      <c r="J689" s="51">
        <f>+IF(F689=12%,D689*H689,0)</f>
        <v>15.25</v>
      </c>
      <c r="K689" s="52">
        <v>0</v>
      </c>
      <c r="L689" s="53">
        <v>0</v>
      </c>
      <c r="M689" s="53">
        <f>+J689*K689</f>
        <v>0</v>
      </c>
      <c r="N689" s="53">
        <f>+(J689-M689)*F689</f>
        <v>1.8299999999999998</v>
      </c>
      <c r="O689" s="53">
        <f>+J689-M689+N689</f>
        <v>17.079999999999998</v>
      </c>
      <c r="P689" s="7" t="s">
        <v>45</v>
      </c>
      <c r="Q689" s="95" t="s">
        <v>46</v>
      </c>
      <c r="R689" s="7" t="s">
        <v>45</v>
      </c>
    </row>
    <row r="690" spans="2:18" x14ac:dyDescent="0.25">
      <c r="B690" s="2" t="s">
        <v>27</v>
      </c>
      <c r="C690" s="3" t="s">
        <v>28</v>
      </c>
      <c r="D690" s="95">
        <v>1</v>
      </c>
      <c r="E690" t="s">
        <v>429</v>
      </c>
      <c r="F690" s="43">
        <v>0.12</v>
      </c>
      <c r="G690" t="s">
        <v>358</v>
      </c>
      <c r="H690" s="10">
        <v>250</v>
      </c>
      <c r="I690" s="10">
        <f>+IF(F690=0%,D690*H690,0)</f>
        <v>0</v>
      </c>
      <c r="J690" s="10">
        <f>+IF(F690=12%,D690*H690,0)</f>
        <v>250</v>
      </c>
      <c r="K690" s="52">
        <v>0</v>
      </c>
      <c r="L690" s="53">
        <v>0</v>
      </c>
      <c r="M690" s="53">
        <f>+J690*K690</f>
        <v>0</v>
      </c>
      <c r="N690" s="53">
        <f>+(J690-M690)*F690</f>
        <v>30</v>
      </c>
      <c r="O690" s="53">
        <f>+J690-M690+N690</f>
        <v>280</v>
      </c>
      <c r="P690" s="35" t="s">
        <v>275</v>
      </c>
      <c r="Q690" s="95" t="s">
        <v>274</v>
      </c>
      <c r="R690" s="7" t="s">
        <v>25</v>
      </c>
    </row>
    <row r="691" spans="2:18" x14ac:dyDescent="0.25">
      <c r="B691" s="2" t="s">
        <v>29</v>
      </c>
      <c r="C691" s="3">
        <v>1</v>
      </c>
      <c r="D691" s="95"/>
      <c r="E691" s="95"/>
      <c r="F691" s="95"/>
      <c r="G691" s="95"/>
      <c r="H691" s="10"/>
      <c r="I691" s="10"/>
      <c r="J691" s="10"/>
      <c r="K691" s="10"/>
      <c r="L691" s="95"/>
      <c r="M691" s="10"/>
      <c r="N691" s="10"/>
      <c r="O691" s="11"/>
      <c r="P691" s="95"/>
      <c r="Q691" s="95"/>
      <c r="R691" s="7"/>
    </row>
    <row r="692" spans="2:18" ht="15.75" thickBot="1" x14ac:dyDescent="0.3">
      <c r="B692" s="2" t="s">
        <v>30</v>
      </c>
      <c r="C692" s="37">
        <v>1120335551</v>
      </c>
      <c r="D692" s="39" t="s">
        <v>34</v>
      </c>
      <c r="E692" s="40">
        <f>+SUM(I686:I691)</f>
        <v>0</v>
      </c>
      <c r="F692" s="23"/>
      <c r="G692" s="23"/>
      <c r="H692" s="41"/>
      <c r="I692" s="41"/>
      <c r="J692" s="41"/>
      <c r="K692" s="41"/>
      <c r="L692" s="23"/>
      <c r="M692" s="41"/>
      <c r="N692" s="41"/>
      <c r="O692" s="42"/>
      <c r="P692" s="23"/>
      <c r="Q692" s="23"/>
      <c r="R692" s="22"/>
    </row>
    <row r="693" spans="2:18" ht="15.75" thickBot="1" x14ac:dyDescent="0.3">
      <c r="B693" s="2" t="s">
        <v>31</v>
      </c>
      <c r="C693" s="14">
        <v>43504</v>
      </c>
      <c r="D693" s="16" t="s">
        <v>36</v>
      </c>
      <c r="E693" s="17">
        <f>+SUM(J686:J691)</f>
        <v>674.4316</v>
      </c>
      <c r="F693" s="23"/>
      <c r="G693" s="23"/>
      <c r="H693" s="41"/>
      <c r="I693" s="41"/>
      <c r="J693" s="41"/>
      <c r="K693" s="41"/>
      <c r="L693" s="23"/>
      <c r="M693" s="41"/>
      <c r="N693" s="41"/>
      <c r="O693" s="42"/>
      <c r="P693" s="23"/>
      <c r="Q693" s="23"/>
      <c r="R693" s="22"/>
    </row>
    <row r="694" spans="2:18" ht="15.75" thickBot="1" x14ac:dyDescent="0.3">
      <c r="B694" s="2" t="s">
        <v>32</v>
      </c>
      <c r="C694" s="15" t="s">
        <v>33</v>
      </c>
      <c r="D694" s="16" t="s">
        <v>39</v>
      </c>
      <c r="E694" s="17">
        <f>SUM(M686:M691)</f>
        <v>0</v>
      </c>
      <c r="F694" s="23"/>
    </row>
    <row r="695" spans="2:18" ht="15.75" thickBot="1" x14ac:dyDescent="0.3">
      <c r="B695" s="2" t="s">
        <v>35</v>
      </c>
      <c r="C695" s="15" t="s">
        <v>33</v>
      </c>
      <c r="D695" s="16" t="s">
        <v>14</v>
      </c>
      <c r="E695" s="17">
        <f>SUM(N686:N691)</f>
        <v>80.931792000000002</v>
      </c>
      <c r="F695" s="23"/>
    </row>
    <row r="696" spans="2:18" ht="15.75" thickBot="1" x14ac:dyDescent="0.3">
      <c r="B696" s="2" t="s">
        <v>37</v>
      </c>
      <c r="C696" s="15" t="s">
        <v>270</v>
      </c>
      <c r="D696" s="16" t="s">
        <v>15</v>
      </c>
      <c r="E696" s="17">
        <f>SUM(O686:O691)</f>
        <v>755.36339199999998</v>
      </c>
      <c r="F696" s="23"/>
    </row>
    <row r="697" spans="2:18" x14ac:dyDescent="0.25">
      <c r="B697" s="18"/>
      <c r="C697" s="18"/>
    </row>
    <row r="698" spans="2:18" x14ac:dyDescent="0.25">
      <c r="B698" s="18"/>
      <c r="C698" s="18"/>
    </row>
    <row r="699" spans="2:18" x14ac:dyDescent="0.25">
      <c r="B699" s="114" t="s">
        <v>399</v>
      </c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</row>
    <row r="700" spans="2:18" x14ac:dyDescent="0.25">
      <c r="B700" s="2" t="s">
        <v>48</v>
      </c>
      <c r="C700" s="15" t="s">
        <v>33</v>
      </c>
      <c r="D700" s="19" t="s">
        <v>16</v>
      </c>
      <c r="E700" s="115" t="s">
        <v>152</v>
      </c>
      <c r="F700" s="116"/>
      <c r="G700" s="99" t="s">
        <v>150</v>
      </c>
      <c r="H700" s="117" t="s">
        <v>49</v>
      </c>
      <c r="I700" s="118"/>
      <c r="J700" s="117" t="s">
        <v>151</v>
      </c>
      <c r="K700" s="118"/>
      <c r="L700" s="5" t="s">
        <v>50</v>
      </c>
      <c r="M700" s="5" t="s">
        <v>51</v>
      </c>
      <c r="N700" s="117" t="s">
        <v>155</v>
      </c>
      <c r="O700" s="118"/>
    </row>
    <row r="701" spans="2:18" x14ac:dyDescent="0.25">
      <c r="B701" s="2" t="s">
        <v>52</v>
      </c>
      <c r="C701" s="15" t="s">
        <v>33</v>
      </c>
      <c r="D701" s="95" t="s">
        <v>169</v>
      </c>
      <c r="E701" s="119" t="s">
        <v>473</v>
      </c>
      <c r="F701" s="119"/>
      <c r="G701" s="96">
        <v>725</v>
      </c>
      <c r="H701" s="120" t="s">
        <v>14</v>
      </c>
      <c r="I701" s="121"/>
      <c r="J701" s="122">
        <v>0.3</v>
      </c>
      <c r="K701" s="123"/>
      <c r="L701" s="54">
        <f>+E695*J701</f>
        <v>24.279537600000001</v>
      </c>
      <c r="M701" s="131">
        <f>+L701+L702</f>
        <v>78.234065600000008</v>
      </c>
      <c r="N701" s="133">
        <f>+E696-M701</f>
        <v>677.12932639999997</v>
      </c>
      <c r="O701" s="134"/>
    </row>
    <row r="702" spans="2:18" x14ac:dyDescent="0.25">
      <c r="B702" s="2" t="s">
        <v>53</v>
      </c>
      <c r="C702" s="15" t="s">
        <v>54</v>
      </c>
      <c r="D702" s="95" t="s">
        <v>171</v>
      </c>
      <c r="E702" s="119" t="s">
        <v>467</v>
      </c>
      <c r="F702" s="119"/>
      <c r="G702" s="96">
        <v>320</v>
      </c>
      <c r="H702" s="120" t="s">
        <v>153</v>
      </c>
      <c r="I702" s="121"/>
      <c r="J702" s="122">
        <v>0.08</v>
      </c>
      <c r="K702" s="123"/>
      <c r="L702" s="54">
        <f>(E693+E692-E694)*J702</f>
        <v>53.954528000000003</v>
      </c>
      <c r="M702" s="132"/>
      <c r="N702" s="135"/>
      <c r="O702" s="136"/>
    </row>
    <row r="703" spans="2:18" x14ac:dyDescent="0.25">
      <c r="B703" s="2" t="s">
        <v>55</v>
      </c>
      <c r="C703" s="3" t="str">
        <f>+CONCATENATE(C694,"-",C695,"-",C696)</f>
        <v>001-001-121</v>
      </c>
    </row>
    <row r="704" spans="2:18" x14ac:dyDescent="0.25">
      <c r="B704" s="2" t="s">
        <v>57</v>
      </c>
      <c r="C704" s="21">
        <f>+C693</f>
        <v>43504</v>
      </c>
    </row>
    <row r="705" spans="1:18" x14ac:dyDescent="0.25">
      <c r="B705" s="2" t="s">
        <v>86</v>
      </c>
      <c r="C705" s="21" t="s">
        <v>87</v>
      </c>
      <c r="D705" s="22"/>
      <c r="E705" s="28" t="s">
        <v>279</v>
      </c>
      <c r="F705" s="23"/>
      <c r="G705" s="23"/>
      <c r="H705" s="23"/>
      <c r="I705" s="23"/>
      <c r="J705" s="24"/>
      <c r="K705" s="24"/>
      <c r="L705" s="25"/>
      <c r="M705" s="26"/>
      <c r="N705" s="22"/>
      <c r="O705" s="22"/>
    </row>
    <row r="706" spans="1:18" x14ac:dyDescent="0.25">
      <c r="B706" s="2" t="s">
        <v>59</v>
      </c>
      <c r="C706" s="21" t="s">
        <v>88</v>
      </c>
      <c r="D706" s="22"/>
      <c r="E706" s="110" t="s">
        <v>330</v>
      </c>
      <c r="F706" s="23"/>
      <c r="G706" s="23"/>
      <c r="H706" s="23"/>
      <c r="I706" s="23"/>
      <c r="J706" s="24"/>
      <c r="K706" s="24"/>
      <c r="L706" s="25"/>
      <c r="M706" s="26"/>
      <c r="N706" s="22"/>
      <c r="O706" s="22"/>
    </row>
    <row r="707" spans="1:18" x14ac:dyDescent="0.25">
      <c r="B707" s="2" t="s">
        <v>60</v>
      </c>
      <c r="C707" s="21" t="s">
        <v>89</v>
      </c>
      <c r="D707" s="22"/>
      <c r="E707" s="23"/>
      <c r="F707" s="23"/>
      <c r="G707" s="23"/>
      <c r="H707" s="23"/>
      <c r="I707" s="23"/>
      <c r="J707" s="24"/>
      <c r="K707" s="24"/>
      <c r="L707" s="25"/>
      <c r="M707" s="26"/>
      <c r="N707" s="22"/>
      <c r="O707" s="22"/>
    </row>
    <row r="708" spans="1:18" x14ac:dyDescent="0.25">
      <c r="B708" s="2" t="s">
        <v>61</v>
      </c>
      <c r="C708" s="27">
        <f>+E696-M701</f>
        <v>677.12932639999997</v>
      </c>
      <c r="D708" s="22"/>
      <c r="E708" s="28"/>
      <c r="G708" s="23"/>
      <c r="H708" s="23"/>
      <c r="I708" s="24"/>
      <c r="J708" s="24"/>
      <c r="K708" s="25"/>
      <c r="L708" s="26"/>
      <c r="M708" s="22"/>
      <c r="N708" s="22"/>
    </row>
    <row r="711" spans="1:18" ht="26.25" x14ac:dyDescent="0.4">
      <c r="A711" s="34" t="s">
        <v>268</v>
      </c>
      <c r="B711" s="34" t="s">
        <v>94</v>
      </c>
      <c r="C711" s="1" t="s">
        <v>431</v>
      </c>
    </row>
    <row r="712" spans="1:18" x14ac:dyDescent="0.25">
      <c r="B712" s="112" t="s">
        <v>398</v>
      </c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</row>
    <row r="713" spans="1:18" x14ac:dyDescent="0.25">
      <c r="B713" s="2" t="s">
        <v>6</v>
      </c>
      <c r="C713" s="3" t="s">
        <v>7</v>
      </c>
      <c r="D713" s="100" t="s">
        <v>8</v>
      </c>
      <c r="E713" s="5" t="s">
        <v>9</v>
      </c>
      <c r="F713" s="5" t="s">
        <v>14</v>
      </c>
      <c r="G713" s="5" t="s">
        <v>10</v>
      </c>
      <c r="H713" s="5" t="s">
        <v>11</v>
      </c>
      <c r="I713" s="5" t="s">
        <v>148</v>
      </c>
      <c r="J713" s="5" t="s">
        <v>149</v>
      </c>
      <c r="K713" s="5" t="s">
        <v>12</v>
      </c>
      <c r="L713" s="5" t="s">
        <v>13</v>
      </c>
      <c r="M713" s="5" t="s">
        <v>40</v>
      </c>
      <c r="N713" s="5" t="s">
        <v>14</v>
      </c>
      <c r="O713" s="5" t="s">
        <v>15</v>
      </c>
      <c r="P713" s="5" t="s">
        <v>16</v>
      </c>
      <c r="Q713" s="5" t="s">
        <v>17</v>
      </c>
      <c r="R713" s="5" t="s">
        <v>18</v>
      </c>
    </row>
    <row r="714" spans="1:18" x14ac:dyDescent="0.25">
      <c r="B714" s="2" t="s">
        <v>19</v>
      </c>
      <c r="C714" s="6" t="s">
        <v>20</v>
      </c>
      <c r="D714" s="95">
        <v>61</v>
      </c>
      <c r="E714" s="95" t="s">
        <v>41</v>
      </c>
      <c r="F714" s="43">
        <v>0.12</v>
      </c>
      <c r="G714" s="7" t="s">
        <v>104</v>
      </c>
      <c r="H714" s="51">
        <v>1.45</v>
      </c>
      <c r="I714" s="51">
        <f>+IF(F714=0%,D714*H714,0)</f>
        <v>0</v>
      </c>
      <c r="J714" s="51">
        <f>+IF(F714=12%,D714*H714,0)</f>
        <v>88.45</v>
      </c>
      <c r="K714" s="52">
        <v>0</v>
      </c>
      <c r="L714" s="53">
        <v>0</v>
      </c>
      <c r="M714" s="53">
        <f>+J714*K714</f>
        <v>0</v>
      </c>
      <c r="N714" s="53">
        <f>+(J714-M714)*F714</f>
        <v>10.614000000000001</v>
      </c>
      <c r="O714" s="53">
        <f>+J714-M714+N714</f>
        <v>99.064000000000007</v>
      </c>
      <c r="P714" s="7" t="s">
        <v>45</v>
      </c>
      <c r="Q714" s="7" t="s">
        <v>46</v>
      </c>
      <c r="R714" s="7" t="s">
        <v>45</v>
      </c>
    </row>
    <row r="715" spans="1:18" x14ac:dyDescent="0.25">
      <c r="B715" s="2" t="s">
        <v>21</v>
      </c>
      <c r="C715" s="15" t="s">
        <v>22</v>
      </c>
      <c r="D715" s="95">
        <v>56.21</v>
      </c>
      <c r="E715" s="95" t="s">
        <v>42</v>
      </c>
      <c r="F715" s="43">
        <v>0.12</v>
      </c>
      <c r="G715" s="7" t="s">
        <v>106</v>
      </c>
      <c r="H715" s="51">
        <v>2.96</v>
      </c>
      <c r="I715" s="51">
        <f>+IF(F715=0%,D715*H715,0)</f>
        <v>0</v>
      </c>
      <c r="J715" s="51">
        <f>+IF(F715=12%,D715*H715,0)</f>
        <v>166.38159999999999</v>
      </c>
      <c r="K715" s="52">
        <v>0</v>
      </c>
      <c r="L715" s="53">
        <v>0</v>
      </c>
      <c r="M715" s="53">
        <f>+J715*K715</f>
        <v>0</v>
      </c>
      <c r="N715" s="53">
        <f>+(J715-M715)*F715</f>
        <v>19.965791999999997</v>
      </c>
      <c r="O715" s="53">
        <f>+J715-M715+N715</f>
        <v>186.34739199999999</v>
      </c>
      <c r="P715" s="7" t="s">
        <v>45</v>
      </c>
      <c r="Q715" s="95" t="s">
        <v>46</v>
      </c>
      <c r="R715" s="7" t="s">
        <v>45</v>
      </c>
    </row>
    <row r="716" spans="1:18" ht="30" x14ac:dyDescent="0.25">
      <c r="B716" s="2" t="s">
        <v>23</v>
      </c>
      <c r="C716" s="30" t="s">
        <v>70</v>
      </c>
      <c r="D716" s="97">
        <v>49</v>
      </c>
      <c r="E716" s="95" t="s">
        <v>43</v>
      </c>
      <c r="F716" s="43">
        <v>0.12</v>
      </c>
      <c r="G716" s="7" t="s">
        <v>108</v>
      </c>
      <c r="H716" s="51">
        <v>3.15</v>
      </c>
      <c r="I716" s="51">
        <f>+IF(F716=0%,D716*H716,0)</f>
        <v>0</v>
      </c>
      <c r="J716" s="51">
        <f>+IF(F716=12%,D716*H716,0)</f>
        <v>154.35</v>
      </c>
      <c r="K716" s="52">
        <v>0</v>
      </c>
      <c r="L716" s="53">
        <v>0</v>
      </c>
      <c r="M716" s="53">
        <f>+J716*K716</f>
        <v>0</v>
      </c>
      <c r="N716" s="53">
        <f>+(J716-M716)*F716</f>
        <v>18.521999999999998</v>
      </c>
      <c r="O716" s="53">
        <f>+J716-M716+N716</f>
        <v>172.87199999999999</v>
      </c>
      <c r="P716" s="7" t="s">
        <v>45</v>
      </c>
      <c r="Q716" s="95" t="s">
        <v>46</v>
      </c>
      <c r="R716" s="7" t="s">
        <v>45</v>
      </c>
    </row>
    <row r="717" spans="1:18" x14ac:dyDescent="0.25">
      <c r="B717" s="2" t="s">
        <v>26</v>
      </c>
      <c r="C717" s="12" t="s">
        <v>71</v>
      </c>
      <c r="D717" s="97">
        <v>12.2</v>
      </c>
      <c r="E717" s="95" t="s">
        <v>44</v>
      </c>
      <c r="F717" s="43">
        <v>0.12</v>
      </c>
      <c r="G717" s="7" t="s">
        <v>110</v>
      </c>
      <c r="H717" s="51">
        <v>1.25</v>
      </c>
      <c r="I717" s="51">
        <f>+IF(F717=0%,D717*H717,0)</f>
        <v>0</v>
      </c>
      <c r="J717" s="51">
        <f>+IF(F717=12%,D717*H717,0)</f>
        <v>15.25</v>
      </c>
      <c r="K717" s="52">
        <v>0</v>
      </c>
      <c r="L717" s="53">
        <v>0</v>
      </c>
      <c r="M717" s="53">
        <f>+J717*K717</f>
        <v>0</v>
      </c>
      <c r="N717" s="53">
        <f>+(J717-M717)*F717</f>
        <v>1.8299999999999998</v>
      </c>
      <c r="O717" s="53">
        <f>+J717-M717+N717</f>
        <v>17.079999999999998</v>
      </c>
      <c r="P717" s="7" t="s">
        <v>45</v>
      </c>
      <c r="Q717" s="95" t="s">
        <v>46</v>
      </c>
      <c r="R717" s="7" t="s">
        <v>45</v>
      </c>
    </row>
    <row r="718" spans="1:18" x14ac:dyDescent="0.25">
      <c r="B718" s="2" t="s">
        <v>27</v>
      </c>
      <c r="C718" s="3" t="s">
        <v>28</v>
      </c>
      <c r="D718" s="95">
        <v>1</v>
      </c>
      <c r="E718" t="s">
        <v>429</v>
      </c>
      <c r="F718" s="43">
        <v>0.12</v>
      </c>
      <c r="G718" t="s">
        <v>359</v>
      </c>
      <c r="H718" s="10">
        <v>250</v>
      </c>
      <c r="I718" s="10">
        <f>+IF(F718=0%,D718*H718,0)</f>
        <v>0</v>
      </c>
      <c r="J718" s="10">
        <f>+IF(F718=12%,D718*H718,0)</f>
        <v>250</v>
      </c>
      <c r="K718" s="52">
        <v>0</v>
      </c>
      <c r="L718" s="53">
        <v>0</v>
      </c>
      <c r="M718" s="53">
        <f>+J718*K718</f>
        <v>0</v>
      </c>
      <c r="N718" s="53">
        <f>+(J718-M718)*F718</f>
        <v>30</v>
      </c>
      <c r="O718" s="53">
        <f>+J718-M718+N718</f>
        <v>280</v>
      </c>
      <c r="P718" s="35" t="s">
        <v>275</v>
      </c>
      <c r="Q718" s="95" t="s">
        <v>274</v>
      </c>
      <c r="R718" s="7" t="s">
        <v>25</v>
      </c>
    </row>
    <row r="719" spans="1:18" ht="15.75" thickBot="1" x14ac:dyDescent="0.3">
      <c r="B719" s="2" t="s">
        <v>29</v>
      </c>
      <c r="C719" s="3">
        <v>1</v>
      </c>
      <c r="D719" s="97"/>
      <c r="E719" s="95"/>
      <c r="F719" s="95"/>
      <c r="G719" s="95"/>
      <c r="H719" s="10"/>
      <c r="I719" s="10"/>
      <c r="J719" s="10"/>
      <c r="K719" s="10"/>
      <c r="L719" s="95"/>
      <c r="M719" s="10"/>
      <c r="N719" s="10"/>
      <c r="O719" s="11"/>
      <c r="P719" s="95"/>
      <c r="Q719" s="95"/>
      <c r="R719" s="7"/>
    </row>
    <row r="720" spans="1:18" ht="15.75" thickBot="1" x14ac:dyDescent="0.3">
      <c r="B720" s="2" t="s">
        <v>30</v>
      </c>
      <c r="C720" s="7">
        <v>1120335551</v>
      </c>
      <c r="D720" s="16" t="s">
        <v>34</v>
      </c>
      <c r="E720" s="40">
        <f>+SUM(I714:I717)</f>
        <v>0</v>
      </c>
    </row>
    <row r="721" spans="2:15" ht="15.75" thickBot="1" x14ac:dyDescent="0.3">
      <c r="B721" s="2" t="s">
        <v>31</v>
      </c>
      <c r="C721" s="14">
        <v>43504</v>
      </c>
      <c r="D721" s="16" t="s">
        <v>36</v>
      </c>
      <c r="E721" s="17">
        <f>+SUM(J714:J719)</f>
        <v>674.4316</v>
      </c>
    </row>
    <row r="722" spans="2:15" ht="15.75" thickBot="1" x14ac:dyDescent="0.3">
      <c r="B722" s="2" t="s">
        <v>32</v>
      </c>
      <c r="C722" s="15" t="s">
        <v>33</v>
      </c>
      <c r="D722" s="16" t="s">
        <v>39</v>
      </c>
      <c r="E722" s="17">
        <f>SUM(M714:M719)</f>
        <v>0</v>
      </c>
    </row>
    <row r="723" spans="2:15" ht="15.75" thickBot="1" x14ac:dyDescent="0.3">
      <c r="B723" s="2" t="s">
        <v>35</v>
      </c>
      <c r="C723" s="15" t="s">
        <v>33</v>
      </c>
      <c r="D723" s="16" t="s">
        <v>14</v>
      </c>
      <c r="E723" s="17">
        <f>SUM(N714:N719)</f>
        <v>80.931792000000002</v>
      </c>
    </row>
    <row r="724" spans="2:15" ht="15.75" thickBot="1" x14ac:dyDescent="0.3">
      <c r="B724" s="2" t="s">
        <v>37</v>
      </c>
      <c r="C724" s="15" t="s">
        <v>271</v>
      </c>
      <c r="D724" s="16" t="s">
        <v>15</v>
      </c>
      <c r="E724" s="17">
        <f>SUM(O714:O719)</f>
        <v>755.36339199999998</v>
      </c>
    </row>
    <row r="725" spans="2:15" x14ac:dyDescent="0.25">
      <c r="B725" s="18"/>
      <c r="C725" s="18"/>
    </row>
    <row r="727" spans="2:15" x14ac:dyDescent="0.25">
      <c r="B727" s="114" t="s">
        <v>399</v>
      </c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</row>
    <row r="728" spans="2:15" x14ac:dyDescent="0.25">
      <c r="B728" s="2" t="s">
        <v>48</v>
      </c>
      <c r="C728" s="15" t="s">
        <v>33</v>
      </c>
      <c r="D728" s="19" t="s">
        <v>16</v>
      </c>
      <c r="E728" s="115" t="s">
        <v>152</v>
      </c>
      <c r="F728" s="116"/>
      <c r="G728" s="99" t="s">
        <v>150</v>
      </c>
      <c r="H728" s="117" t="s">
        <v>49</v>
      </c>
      <c r="I728" s="118"/>
      <c r="J728" s="117" t="s">
        <v>151</v>
      </c>
      <c r="K728" s="118"/>
      <c r="L728" s="5" t="s">
        <v>50</v>
      </c>
      <c r="M728" s="5" t="s">
        <v>51</v>
      </c>
      <c r="N728" s="117" t="s">
        <v>155</v>
      </c>
      <c r="O728" s="118"/>
    </row>
    <row r="729" spans="2:15" x14ac:dyDescent="0.25">
      <c r="B729" s="2" t="s">
        <v>52</v>
      </c>
      <c r="C729" s="15" t="s">
        <v>33</v>
      </c>
      <c r="D729" s="95" t="s">
        <v>179</v>
      </c>
      <c r="E729" s="119" t="s">
        <v>469</v>
      </c>
      <c r="F729" s="119"/>
      <c r="G729" s="96">
        <v>727</v>
      </c>
      <c r="H729" s="120" t="s">
        <v>14</v>
      </c>
      <c r="I729" s="121"/>
      <c r="J729" s="122">
        <v>0.5</v>
      </c>
      <c r="K729" s="123"/>
      <c r="L729" s="20">
        <f>+E723*J729</f>
        <v>40.465896000000001</v>
      </c>
      <c r="M729" s="124">
        <f>+L729+L730</f>
        <v>53.954528000000003</v>
      </c>
      <c r="N729" s="126">
        <f>+E724-M729</f>
        <v>701.40886399999999</v>
      </c>
      <c r="O729" s="127"/>
    </row>
    <row r="730" spans="2:15" x14ac:dyDescent="0.25">
      <c r="B730" s="2" t="s">
        <v>53</v>
      </c>
      <c r="C730" s="15" t="s">
        <v>163</v>
      </c>
      <c r="D730" s="95" t="s">
        <v>175</v>
      </c>
      <c r="E730" s="119" t="s">
        <v>468</v>
      </c>
      <c r="F730" s="119"/>
      <c r="G730" s="96">
        <v>344</v>
      </c>
      <c r="H730" s="120" t="s">
        <v>153</v>
      </c>
      <c r="I730" s="121"/>
      <c r="J730" s="122">
        <v>0.02</v>
      </c>
      <c r="K730" s="123"/>
      <c r="L730" s="20">
        <f>(E721+E720-E722)*J730</f>
        <v>13.488632000000001</v>
      </c>
      <c r="M730" s="125"/>
      <c r="N730" s="128"/>
      <c r="O730" s="129"/>
    </row>
    <row r="731" spans="2:15" x14ac:dyDescent="0.25">
      <c r="B731" s="2" t="s">
        <v>55</v>
      </c>
      <c r="C731" s="3" t="str">
        <f>+CONCATENATE(C722,"-",C723,"-",C724)</f>
        <v>001-001-122</v>
      </c>
    </row>
    <row r="732" spans="2:15" x14ac:dyDescent="0.25">
      <c r="B732" s="2" t="s">
        <v>57</v>
      </c>
      <c r="C732" s="21">
        <f>+C721</f>
        <v>43504</v>
      </c>
    </row>
    <row r="733" spans="2:15" x14ac:dyDescent="0.25">
      <c r="B733" s="2" t="s">
        <v>86</v>
      </c>
      <c r="C733" s="21" t="s">
        <v>87</v>
      </c>
      <c r="E733" s="31" t="s">
        <v>279</v>
      </c>
    </row>
    <row r="734" spans="2:15" x14ac:dyDescent="0.25">
      <c r="B734" s="2" t="s">
        <v>59</v>
      </c>
      <c r="C734" s="21" t="s">
        <v>90</v>
      </c>
      <c r="E734" s="110" t="s">
        <v>330</v>
      </c>
    </row>
    <row r="735" spans="2:15" x14ac:dyDescent="0.25">
      <c r="B735" s="2" t="s">
        <v>60</v>
      </c>
      <c r="C735" s="21" t="s">
        <v>91</v>
      </c>
    </row>
    <row r="736" spans="2:15" x14ac:dyDescent="0.25">
      <c r="B736" s="2" t="s">
        <v>61</v>
      </c>
      <c r="C736" s="27">
        <f>+E724-M729</f>
        <v>701.40886399999999</v>
      </c>
    </row>
    <row r="739" spans="1:18" ht="26.25" x14ac:dyDescent="0.4">
      <c r="A739" s="34" t="s">
        <v>268</v>
      </c>
      <c r="B739" s="34" t="s">
        <v>140</v>
      </c>
      <c r="C739" s="1" t="s">
        <v>432</v>
      </c>
    </row>
    <row r="740" spans="1:18" x14ac:dyDescent="0.25">
      <c r="B740" s="112" t="s">
        <v>398</v>
      </c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</row>
    <row r="741" spans="1:18" x14ac:dyDescent="0.25">
      <c r="B741" s="2" t="s">
        <v>6</v>
      </c>
      <c r="C741" s="3" t="s">
        <v>67</v>
      </c>
      <c r="D741" s="100" t="s">
        <v>8</v>
      </c>
      <c r="E741" s="5" t="s">
        <v>9</v>
      </c>
      <c r="F741" s="5" t="s">
        <v>14</v>
      </c>
      <c r="G741" s="5" t="s">
        <v>10</v>
      </c>
      <c r="H741" s="5" t="s">
        <v>11</v>
      </c>
      <c r="I741" s="5" t="s">
        <v>148</v>
      </c>
      <c r="J741" s="5" t="s">
        <v>149</v>
      </c>
      <c r="K741" s="5" t="s">
        <v>12</v>
      </c>
      <c r="L741" s="5" t="s">
        <v>13</v>
      </c>
      <c r="M741" s="5" t="s">
        <v>40</v>
      </c>
      <c r="N741" s="5" t="s">
        <v>14</v>
      </c>
      <c r="O741" s="5" t="s">
        <v>15</v>
      </c>
      <c r="P741" s="5" t="s">
        <v>16</v>
      </c>
      <c r="Q741" s="5" t="s">
        <v>17</v>
      </c>
      <c r="R741" s="5" t="s">
        <v>18</v>
      </c>
    </row>
    <row r="742" spans="1:18" x14ac:dyDescent="0.25">
      <c r="B742" s="2" t="s">
        <v>19</v>
      </c>
      <c r="C742" s="15" t="s">
        <v>68</v>
      </c>
      <c r="D742" s="7">
        <v>118.47</v>
      </c>
      <c r="E742" s="95" t="s">
        <v>95</v>
      </c>
      <c r="F742" s="43">
        <v>0.12</v>
      </c>
      <c r="G742" s="35" t="s">
        <v>99</v>
      </c>
      <c r="H742" s="51">
        <v>1.47</v>
      </c>
      <c r="I742" s="51">
        <f>+IF(F742=0%,D742*H742,0)</f>
        <v>0</v>
      </c>
      <c r="J742" s="51">
        <f>+IF(F742=12%,D742*H742,0)</f>
        <v>174.15090000000001</v>
      </c>
      <c r="K742" s="52">
        <v>0</v>
      </c>
      <c r="L742" s="53">
        <v>0</v>
      </c>
      <c r="M742" s="53">
        <f>+J742*K742</f>
        <v>0</v>
      </c>
      <c r="N742" s="53">
        <f>+(J742-M742)*F742</f>
        <v>20.898108000000001</v>
      </c>
      <c r="O742" s="53">
        <f>+J742-M742+N742</f>
        <v>195.04900800000001</v>
      </c>
      <c r="P742" s="7" t="s">
        <v>45</v>
      </c>
      <c r="Q742" s="7" t="s">
        <v>46</v>
      </c>
      <c r="R742" s="7" t="s">
        <v>45</v>
      </c>
    </row>
    <row r="743" spans="1:18" x14ac:dyDescent="0.25">
      <c r="B743" s="2" t="s">
        <v>21</v>
      </c>
      <c r="C743" s="15" t="s">
        <v>22</v>
      </c>
      <c r="D743" s="7">
        <v>249.58</v>
      </c>
      <c r="E743" s="95" t="s">
        <v>96</v>
      </c>
      <c r="F743" s="43">
        <v>0.12</v>
      </c>
      <c r="G743" s="35" t="s">
        <v>100</v>
      </c>
      <c r="H743" s="51">
        <v>2.96</v>
      </c>
      <c r="I743" s="51">
        <f>+IF(F743=0%,D743*H743,0)</f>
        <v>0</v>
      </c>
      <c r="J743" s="51">
        <f>+IF(F743=12%,D743*H743,0)</f>
        <v>738.7568</v>
      </c>
      <c r="K743" s="52">
        <v>0</v>
      </c>
      <c r="L743" s="53">
        <v>0</v>
      </c>
      <c r="M743" s="53">
        <f>+J743*K743</f>
        <v>0</v>
      </c>
      <c r="N743" s="53">
        <f>+(J743-M743)*F743</f>
        <v>88.650815999999992</v>
      </c>
      <c r="O743" s="53">
        <f>+J743-M743+N743</f>
        <v>827.40761599999996</v>
      </c>
      <c r="P743" s="7" t="s">
        <v>45</v>
      </c>
      <c r="Q743" s="95" t="s">
        <v>46</v>
      </c>
      <c r="R743" s="7" t="s">
        <v>45</v>
      </c>
    </row>
    <row r="744" spans="1:18" ht="30" x14ac:dyDescent="0.25">
      <c r="B744" s="2" t="s">
        <v>23</v>
      </c>
      <c r="C744" s="30" t="s">
        <v>70</v>
      </c>
      <c r="D744" s="7">
        <v>73.540000000000006</v>
      </c>
      <c r="E744" s="95" t="s">
        <v>97</v>
      </c>
      <c r="F744" s="43">
        <v>0.12</v>
      </c>
      <c r="G744" s="35" t="s">
        <v>101</v>
      </c>
      <c r="H744" s="51">
        <v>3.15</v>
      </c>
      <c r="I744" s="51">
        <f>+IF(F744=0%,D744*H744,0)</f>
        <v>0</v>
      </c>
      <c r="J744" s="51">
        <f>+IF(F744=12%,D744*H744,0)</f>
        <v>231.65100000000001</v>
      </c>
      <c r="K744" s="52">
        <v>0</v>
      </c>
      <c r="L744" s="53">
        <v>0</v>
      </c>
      <c r="M744" s="53">
        <f>+J744*K744</f>
        <v>0</v>
      </c>
      <c r="N744" s="53">
        <f>+(J744-M744)*F744</f>
        <v>27.798120000000001</v>
      </c>
      <c r="O744" s="53">
        <f>+J744-M744+N744</f>
        <v>259.44911999999999</v>
      </c>
      <c r="P744" s="7" t="s">
        <v>45</v>
      </c>
      <c r="Q744" s="95" t="s">
        <v>46</v>
      </c>
      <c r="R744" s="7" t="s">
        <v>45</v>
      </c>
    </row>
    <row r="745" spans="1:18" x14ac:dyDescent="0.25">
      <c r="B745" s="2" t="s">
        <v>26</v>
      </c>
      <c r="C745" s="12" t="s">
        <v>71</v>
      </c>
      <c r="D745" s="7">
        <v>29</v>
      </c>
      <c r="E745" s="95" t="s">
        <v>98</v>
      </c>
      <c r="F745" s="43">
        <v>0.12</v>
      </c>
      <c r="G745" s="35" t="s">
        <v>102</v>
      </c>
      <c r="H745" s="51">
        <v>1.25</v>
      </c>
      <c r="I745" s="51">
        <f>+IF(F745=0%,D745*H745,0)</f>
        <v>0</v>
      </c>
      <c r="J745" s="51">
        <f>+IF(F745=12%,D745*H745,0)</f>
        <v>36.25</v>
      </c>
      <c r="K745" s="52">
        <v>0</v>
      </c>
      <c r="L745" s="53">
        <v>0</v>
      </c>
      <c r="M745" s="53">
        <f>+J745*K745</f>
        <v>0</v>
      </c>
      <c r="N745" s="53">
        <f>+(J745-M745)*F745</f>
        <v>4.3499999999999996</v>
      </c>
      <c r="O745" s="53">
        <f>+J745-M745+N745</f>
        <v>40.6</v>
      </c>
      <c r="P745" s="7" t="s">
        <v>45</v>
      </c>
      <c r="Q745" s="95" t="s">
        <v>46</v>
      </c>
      <c r="R745" s="7" t="s">
        <v>45</v>
      </c>
    </row>
    <row r="746" spans="1:18" x14ac:dyDescent="0.25">
      <c r="B746" s="2" t="s">
        <v>27</v>
      </c>
      <c r="C746" s="3" t="s">
        <v>28</v>
      </c>
      <c r="D746" s="97">
        <v>1</v>
      </c>
      <c r="E746" t="s">
        <v>433</v>
      </c>
      <c r="F746" s="43">
        <v>0.12</v>
      </c>
      <c r="G746" t="s">
        <v>360</v>
      </c>
      <c r="H746" s="51">
        <v>380</v>
      </c>
      <c r="I746" s="51">
        <f>+IF(F746=0%,D746*H746,0)</f>
        <v>0</v>
      </c>
      <c r="J746" s="51">
        <f>+IF(F746=12%,D746*H746,0)</f>
        <v>380</v>
      </c>
      <c r="K746" s="52">
        <v>0</v>
      </c>
      <c r="L746" s="53">
        <v>0</v>
      </c>
      <c r="M746" s="53">
        <f>+J746*K746</f>
        <v>0</v>
      </c>
      <c r="N746" s="53">
        <f>+(J746-M746)*F746</f>
        <v>45.6</v>
      </c>
      <c r="O746" s="53">
        <f>+J746-M746+N746</f>
        <v>425.6</v>
      </c>
      <c r="P746" s="7" t="s">
        <v>276</v>
      </c>
      <c r="Q746" s="7" t="s">
        <v>277</v>
      </c>
      <c r="R746" s="7" t="s">
        <v>25</v>
      </c>
    </row>
    <row r="747" spans="1:18" ht="15.75" thickBot="1" x14ac:dyDescent="0.3">
      <c r="B747" s="2" t="s">
        <v>29</v>
      </c>
      <c r="C747" s="3">
        <v>1</v>
      </c>
      <c r="D747" s="97"/>
      <c r="E747" s="95"/>
      <c r="F747" s="95"/>
      <c r="G747" s="95"/>
      <c r="H747" s="10"/>
      <c r="I747" s="10"/>
      <c r="J747" s="10"/>
      <c r="K747" s="10"/>
      <c r="L747" s="95"/>
      <c r="M747" s="10"/>
      <c r="N747" s="10"/>
      <c r="O747" s="11"/>
      <c r="P747" s="95"/>
      <c r="Q747" s="95"/>
      <c r="R747" s="7"/>
    </row>
    <row r="748" spans="1:18" ht="15.75" thickBot="1" x14ac:dyDescent="0.3">
      <c r="B748" s="2" t="s">
        <v>30</v>
      </c>
      <c r="C748" s="7">
        <v>1122728319</v>
      </c>
      <c r="D748" s="16" t="s">
        <v>34</v>
      </c>
      <c r="E748" s="40">
        <f>+SUM(I742:I745)</f>
        <v>0</v>
      </c>
    </row>
    <row r="749" spans="1:18" ht="15.75" thickBot="1" x14ac:dyDescent="0.3">
      <c r="B749" s="2" t="s">
        <v>31</v>
      </c>
      <c r="C749" s="14">
        <v>43505</v>
      </c>
      <c r="D749" s="16" t="s">
        <v>36</v>
      </c>
      <c r="E749" s="17">
        <f>+SUM(J742:J747)</f>
        <v>1560.8087</v>
      </c>
    </row>
    <row r="750" spans="1:18" ht="15.75" thickBot="1" x14ac:dyDescent="0.3">
      <c r="B750" s="2" t="s">
        <v>32</v>
      </c>
      <c r="C750" s="15" t="s">
        <v>33</v>
      </c>
      <c r="D750" s="16" t="s">
        <v>39</v>
      </c>
      <c r="E750" s="17">
        <f>SUM(M742:M747)</f>
        <v>0</v>
      </c>
    </row>
    <row r="751" spans="1:18" ht="15.75" thickBot="1" x14ac:dyDescent="0.3">
      <c r="B751" s="2" t="s">
        <v>35</v>
      </c>
      <c r="C751" s="15" t="s">
        <v>33</v>
      </c>
      <c r="D751" s="16" t="s">
        <v>14</v>
      </c>
      <c r="E751" s="17">
        <f>SUM(N742:N747)</f>
        <v>187.297044</v>
      </c>
    </row>
    <row r="752" spans="1:18" ht="15.75" thickBot="1" x14ac:dyDescent="0.3">
      <c r="B752" s="2" t="s">
        <v>37</v>
      </c>
      <c r="C752" s="15" t="s">
        <v>38</v>
      </c>
      <c r="D752" s="16" t="s">
        <v>15</v>
      </c>
      <c r="E752" s="17">
        <f>SUM(O742:O747)</f>
        <v>1748.105744</v>
      </c>
    </row>
    <row r="753" spans="1:18" x14ac:dyDescent="0.25">
      <c r="B753" s="18"/>
      <c r="C753" s="18"/>
    </row>
    <row r="754" spans="1:18" x14ac:dyDescent="0.25">
      <c r="B754" s="18"/>
      <c r="C754" s="18"/>
    </row>
    <row r="755" spans="1:18" x14ac:dyDescent="0.25">
      <c r="B755" s="114" t="s">
        <v>399</v>
      </c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</row>
    <row r="756" spans="1:18" x14ac:dyDescent="0.25">
      <c r="B756" s="2" t="s">
        <v>48</v>
      </c>
      <c r="C756" s="33" t="s">
        <v>33</v>
      </c>
      <c r="D756" s="19" t="s">
        <v>16</v>
      </c>
      <c r="E756" s="115" t="s">
        <v>152</v>
      </c>
      <c r="F756" s="116"/>
      <c r="G756" s="99" t="s">
        <v>150</v>
      </c>
      <c r="H756" s="117" t="s">
        <v>49</v>
      </c>
      <c r="I756" s="118"/>
      <c r="J756" s="117" t="s">
        <v>151</v>
      </c>
      <c r="K756" s="118"/>
      <c r="L756" s="5" t="s">
        <v>50</v>
      </c>
      <c r="M756" s="5" t="s">
        <v>51</v>
      </c>
      <c r="N756" s="117" t="s">
        <v>155</v>
      </c>
      <c r="O756" s="118"/>
    </row>
    <row r="757" spans="1:18" x14ac:dyDescent="0.25">
      <c r="B757" s="2" t="s">
        <v>52</v>
      </c>
      <c r="C757" s="15" t="s">
        <v>33</v>
      </c>
      <c r="D757" s="95" t="s">
        <v>173</v>
      </c>
      <c r="E757" s="119" t="s">
        <v>470</v>
      </c>
      <c r="F757" s="119"/>
      <c r="G757" s="96">
        <v>729</v>
      </c>
      <c r="H757" s="120" t="s">
        <v>14</v>
      </c>
      <c r="I757" s="121"/>
      <c r="J757" s="122">
        <v>0.7</v>
      </c>
      <c r="K757" s="123"/>
      <c r="L757" s="20">
        <f>+E751*J757</f>
        <v>131.10793079999999</v>
      </c>
      <c r="M757" s="124">
        <f>+L757+L758</f>
        <v>146.7160178</v>
      </c>
      <c r="N757" s="126">
        <f>+E752-M757</f>
        <v>1601.3897262</v>
      </c>
      <c r="O757" s="127"/>
    </row>
    <row r="758" spans="1:18" x14ac:dyDescent="0.25">
      <c r="B758" s="2" t="s">
        <v>53</v>
      </c>
      <c r="C758" s="7">
        <v>504</v>
      </c>
      <c r="D758" s="95" t="s">
        <v>165</v>
      </c>
      <c r="E758" s="119" t="s">
        <v>462</v>
      </c>
      <c r="F758" s="119"/>
      <c r="G758" s="96">
        <v>312</v>
      </c>
      <c r="H758" s="120" t="s">
        <v>153</v>
      </c>
      <c r="I758" s="121"/>
      <c r="J758" s="122">
        <v>0.01</v>
      </c>
      <c r="K758" s="123"/>
      <c r="L758" s="20">
        <f>(E749+E748-E750)*J758</f>
        <v>15.608087000000001</v>
      </c>
      <c r="M758" s="125"/>
      <c r="N758" s="128"/>
      <c r="O758" s="129"/>
    </row>
    <row r="759" spans="1:18" x14ac:dyDescent="0.25">
      <c r="B759" s="2" t="s">
        <v>55</v>
      </c>
      <c r="C759" s="3" t="str">
        <f>+CONCATENATE(C750,"-",C751,"-",C752)</f>
        <v>001-001-123</v>
      </c>
    </row>
    <row r="760" spans="1:18" x14ac:dyDescent="0.25">
      <c r="B760" s="2" t="s">
        <v>57</v>
      </c>
      <c r="C760" s="21" t="str">
        <f>+C751</f>
        <v>001</v>
      </c>
    </row>
    <row r="761" spans="1:18" x14ac:dyDescent="0.25">
      <c r="B761" s="2" t="s">
        <v>86</v>
      </c>
      <c r="C761" s="21" t="s">
        <v>143</v>
      </c>
    </row>
    <row r="762" spans="1:18" x14ac:dyDescent="0.25">
      <c r="B762" s="2" t="s">
        <v>58</v>
      </c>
      <c r="C762" s="21" t="s">
        <v>144</v>
      </c>
      <c r="E762" s="31" t="s">
        <v>279</v>
      </c>
    </row>
    <row r="763" spans="1:18" x14ac:dyDescent="0.25">
      <c r="B763" s="2" t="s">
        <v>60</v>
      </c>
      <c r="C763" s="21" t="s">
        <v>74</v>
      </c>
      <c r="E763" s="110" t="s">
        <v>330</v>
      </c>
    </row>
    <row r="764" spans="1:18" x14ac:dyDescent="0.25">
      <c r="B764" s="2" t="s">
        <v>61</v>
      </c>
      <c r="C764" s="27">
        <f>+E752-M757</f>
        <v>1601.3897262</v>
      </c>
    </row>
    <row r="767" spans="1:18" ht="26.25" x14ac:dyDescent="0.4">
      <c r="A767" s="34" t="s">
        <v>268</v>
      </c>
      <c r="B767" s="34" t="s">
        <v>142</v>
      </c>
      <c r="C767" s="1" t="s">
        <v>434</v>
      </c>
    </row>
    <row r="768" spans="1:18" x14ac:dyDescent="0.25">
      <c r="B768" s="112" t="s">
        <v>398</v>
      </c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</row>
    <row r="769" spans="2:18" x14ac:dyDescent="0.25">
      <c r="B769" s="2" t="s">
        <v>6</v>
      </c>
      <c r="C769" s="3" t="s">
        <v>67</v>
      </c>
      <c r="D769" s="100" t="s">
        <v>8</v>
      </c>
      <c r="E769" s="5" t="s">
        <v>9</v>
      </c>
      <c r="F769" s="5" t="s">
        <v>14</v>
      </c>
      <c r="G769" s="5" t="s">
        <v>10</v>
      </c>
      <c r="H769" s="5" t="s">
        <v>11</v>
      </c>
      <c r="I769" s="5" t="s">
        <v>148</v>
      </c>
      <c r="J769" s="5" t="s">
        <v>149</v>
      </c>
      <c r="K769" s="5" t="s">
        <v>12</v>
      </c>
      <c r="L769" s="5" t="s">
        <v>13</v>
      </c>
      <c r="M769" s="5" t="s">
        <v>40</v>
      </c>
      <c r="N769" s="5" t="s">
        <v>14</v>
      </c>
      <c r="O769" s="5" t="s">
        <v>15</v>
      </c>
      <c r="P769" s="5" t="s">
        <v>16</v>
      </c>
      <c r="Q769" s="5" t="s">
        <v>17</v>
      </c>
      <c r="R769" s="5" t="s">
        <v>18</v>
      </c>
    </row>
    <row r="770" spans="2:18" x14ac:dyDescent="0.25">
      <c r="B770" s="2" t="s">
        <v>19</v>
      </c>
      <c r="C770" s="15" t="s">
        <v>68</v>
      </c>
      <c r="D770" s="7">
        <v>118.47</v>
      </c>
      <c r="E770" s="95" t="s">
        <v>95</v>
      </c>
      <c r="F770" s="43">
        <v>0.12</v>
      </c>
      <c r="G770" s="35" t="s">
        <v>99</v>
      </c>
      <c r="H770" s="51">
        <v>1.47</v>
      </c>
      <c r="I770" s="51">
        <f>+IF(F770=0%,D770*H770,0)</f>
        <v>0</v>
      </c>
      <c r="J770" s="51">
        <f>+IF(F770=12%,D770*H770,0)</f>
        <v>174.15090000000001</v>
      </c>
      <c r="K770" s="52">
        <v>0</v>
      </c>
      <c r="L770" s="53">
        <v>0</v>
      </c>
      <c r="M770" s="53">
        <f>+J770*K770</f>
        <v>0</v>
      </c>
      <c r="N770" s="53">
        <f>+(J770-M770)*F770</f>
        <v>20.898108000000001</v>
      </c>
      <c r="O770" s="53">
        <f>+J770-M770+N770</f>
        <v>195.04900800000001</v>
      </c>
      <c r="P770" s="7" t="s">
        <v>45</v>
      </c>
      <c r="Q770" s="7" t="s">
        <v>46</v>
      </c>
      <c r="R770" s="7" t="s">
        <v>45</v>
      </c>
    </row>
    <row r="771" spans="2:18" x14ac:dyDescent="0.25">
      <c r="B771" s="2" t="s">
        <v>21</v>
      </c>
      <c r="C771" s="15" t="s">
        <v>22</v>
      </c>
      <c r="D771" s="7">
        <v>249.58</v>
      </c>
      <c r="E771" s="95" t="s">
        <v>96</v>
      </c>
      <c r="F771" s="43">
        <v>0.12</v>
      </c>
      <c r="G771" s="35" t="s">
        <v>100</v>
      </c>
      <c r="H771" s="51">
        <v>2.96</v>
      </c>
      <c r="I771" s="51">
        <f>+IF(F771=0%,D771*H771,0)</f>
        <v>0</v>
      </c>
      <c r="J771" s="51">
        <f>+IF(F771=12%,D771*H771,0)</f>
        <v>738.7568</v>
      </c>
      <c r="K771" s="52">
        <v>0</v>
      </c>
      <c r="L771" s="53">
        <v>0</v>
      </c>
      <c r="M771" s="53">
        <f>+J771*K771</f>
        <v>0</v>
      </c>
      <c r="N771" s="53">
        <f>+(J771-M771)*F771</f>
        <v>88.650815999999992</v>
      </c>
      <c r="O771" s="53">
        <f>+J771-M771+N771</f>
        <v>827.40761599999996</v>
      </c>
      <c r="P771" s="7" t="s">
        <v>45</v>
      </c>
      <c r="Q771" s="95" t="s">
        <v>46</v>
      </c>
      <c r="R771" s="7" t="s">
        <v>45</v>
      </c>
    </row>
    <row r="772" spans="2:18" ht="30" x14ac:dyDescent="0.25">
      <c r="B772" s="2" t="s">
        <v>23</v>
      </c>
      <c r="C772" s="30" t="s">
        <v>70</v>
      </c>
      <c r="D772" s="7">
        <v>73.540000000000006</v>
      </c>
      <c r="E772" s="95" t="s">
        <v>97</v>
      </c>
      <c r="F772" s="43">
        <v>0.12</v>
      </c>
      <c r="G772" s="35" t="s">
        <v>101</v>
      </c>
      <c r="H772" s="51">
        <v>3.15</v>
      </c>
      <c r="I772" s="51">
        <f>+IF(F772=0%,D772*H772,0)</f>
        <v>0</v>
      </c>
      <c r="J772" s="51">
        <f>+IF(F772=12%,D772*H772,0)</f>
        <v>231.65100000000001</v>
      </c>
      <c r="K772" s="52">
        <v>0</v>
      </c>
      <c r="L772" s="53">
        <v>0</v>
      </c>
      <c r="M772" s="53">
        <f>+J772*K772</f>
        <v>0</v>
      </c>
      <c r="N772" s="53">
        <f>+(J772-M772)*F772</f>
        <v>27.798120000000001</v>
      </c>
      <c r="O772" s="53">
        <f>+J772-M772+N772</f>
        <v>259.44911999999999</v>
      </c>
      <c r="P772" s="7" t="s">
        <v>45</v>
      </c>
      <c r="Q772" s="95" t="s">
        <v>46</v>
      </c>
      <c r="R772" s="7" t="s">
        <v>45</v>
      </c>
    </row>
    <row r="773" spans="2:18" x14ac:dyDescent="0.25">
      <c r="B773" s="2" t="s">
        <v>26</v>
      </c>
      <c r="C773" s="12" t="s">
        <v>71</v>
      </c>
      <c r="D773" s="7">
        <v>29</v>
      </c>
      <c r="E773" s="95" t="s">
        <v>98</v>
      </c>
      <c r="F773" s="43">
        <v>0.12</v>
      </c>
      <c r="G773" s="35" t="s">
        <v>102</v>
      </c>
      <c r="H773" s="51">
        <v>1.25</v>
      </c>
      <c r="I773" s="51">
        <f>+IF(F773=0%,D773*H773,0)</f>
        <v>0</v>
      </c>
      <c r="J773" s="51">
        <f>+IF(F773=12%,D773*H773,0)</f>
        <v>36.25</v>
      </c>
      <c r="K773" s="52">
        <v>0</v>
      </c>
      <c r="L773" s="53">
        <v>0</v>
      </c>
      <c r="M773" s="53">
        <f>+J773*K773</f>
        <v>0</v>
      </c>
      <c r="N773" s="53">
        <f>+(J773-M773)*F773</f>
        <v>4.3499999999999996</v>
      </c>
      <c r="O773" s="53">
        <f>+J773-M773+N773</f>
        <v>40.6</v>
      </c>
      <c r="P773" s="7" t="s">
        <v>45</v>
      </c>
      <c r="Q773" s="95" t="s">
        <v>46</v>
      </c>
      <c r="R773" s="7" t="s">
        <v>45</v>
      </c>
    </row>
    <row r="774" spans="2:18" x14ac:dyDescent="0.25">
      <c r="B774" s="2" t="s">
        <v>27</v>
      </c>
      <c r="C774" s="3" t="s">
        <v>28</v>
      </c>
      <c r="D774" s="97">
        <v>1</v>
      </c>
      <c r="E774" t="s">
        <v>433</v>
      </c>
      <c r="F774" s="43">
        <v>0.12</v>
      </c>
      <c r="G774" t="s">
        <v>361</v>
      </c>
      <c r="H774" s="51">
        <v>380</v>
      </c>
      <c r="I774" s="51">
        <f>+IF(F774=0%,D774*H774,0)</f>
        <v>0</v>
      </c>
      <c r="J774" s="51">
        <f>+IF(F774=12%,D774*H774,0)</f>
        <v>380</v>
      </c>
      <c r="K774" s="52">
        <v>0</v>
      </c>
      <c r="L774" s="53">
        <v>0</v>
      </c>
      <c r="M774" s="53">
        <f>+J774*K774</f>
        <v>0</v>
      </c>
      <c r="N774" s="53">
        <f>+(J774-M774)*F774</f>
        <v>45.6</v>
      </c>
      <c r="O774" s="53">
        <f>+J774-M774+N774</f>
        <v>425.6</v>
      </c>
      <c r="P774" s="7" t="s">
        <v>276</v>
      </c>
      <c r="Q774" s="7" t="s">
        <v>277</v>
      </c>
      <c r="R774" s="7" t="s">
        <v>25</v>
      </c>
    </row>
    <row r="775" spans="2:18" ht="15.75" thickBot="1" x14ac:dyDescent="0.3">
      <c r="B775" s="2" t="s">
        <v>29</v>
      </c>
      <c r="C775" s="3">
        <v>1</v>
      </c>
      <c r="D775" s="97"/>
      <c r="E775" s="95"/>
      <c r="F775" s="95"/>
      <c r="G775" s="95"/>
      <c r="H775" s="10"/>
      <c r="I775" s="10"/>
      <c r="J775" s="10"/>
      <c r="K775" s="10"/>
      <c r="L775" s="95"/>
      <c r="M775" s="10"/>
      <c r="N775" s="10"/>
      <c r="O775" s="11"/>
      <c r="P775" s="95"/>
      <c r="Q775" s="95"/>
      <c r="R775" s="7"/>
    </row>
    <row r="776" spans="2:18" ht="15.75" thickBot="1" x14ac:dyDescent="0.3">
      <c r="B776" s="2" t="s">
        <v>30</v>
      </c>
      <c r="C776" s="7">
        <v>1122728319</v>
      </c>
      <c r="D776" s="16" t="s">
        <v>34</v>
      </c>
      <c r="E776" s="40">
        <f>+SUM(I770:I773)</f>
        <v>0</v>
      </c>
    </row>
    <row r="777" spans="2:18" ht="15.75" thickBot="1" x14ac:dyDescent="0.3">
      <c r="B777" s="2" t="s">
        <v>31</v>
      </c>
      <c r="C777" s="14">
        <v>43505</v>
      </c>
      <c r="D777" s="16" t="s">
        <v>36</v>
      </c>
      <c r="E777" s="17">
        <f>+SUM(J770:J775)</f>
        <v>1560.8087</v>
      </c>
    </row>
    <row r="778" spans="2:18" ht="15.75" thickBot="1" x14ac:dyDescent="0.3">
      <c r="B778" s="2" t="s">
        <v>32</v>
      </c>
      <c r="C778" s="15" t="s">
        <v>33</v>
      </c>
      <c r="D778" s="16" t="s">
        <v>39</v>
      </c>
      <c r="E778" s="17">
        <f>SUM(M770:M775)</f>
        <v>0</v>
      </c>
    </row>
    <row r="779" spans="2:18" ht="15.75" thickBot="1" x14ac:dyDescent="0.3">
      <c r="B779" s="2" t="s">
        <v>35</v>
      </c>
      <c r="C779" s="15" t="s">
        <v>33</v>
      </c>
      <c r="D779" s="16" t="s">
        <v>14</v>
      </c>
      <c r="E779" s="17">
        <f>SUM(N770:N775)</f>
        <v>187.297044</v>
      </c>
    </row>
    <row r="780" spans="2:18" ht="15.75" thickBot="1" x14ac:dyDescent="0.3">
      <c r="B780" s="2" t="s">
        <v>37</v>
      </c>
      <c r="C780" s="15" t="s">
        <v>272</v>
      </c>
      <c r="D780" s="16" t="s">
        <v>15</v>
      </c>
      <c r="E780" s="17">
        <f>SUM(O770:O775)</f>
        <v>1748.105744</v>
      </c>
    </row>
    <row r="781" spans="2:18" x14ac:dyDescent="0.25">
      <c r="B781" s="18"/>
      <c r="C781" s="18"/>
    </row>
    <row r="783" spans="2:18" x14ac:dyDescent="0.25">
      <c r="B783" s="114" t="s">
        <v>399</v>
      </c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</row>
    <row r="784" spans="2:18" x14ac:dyDescent="0.25">
      <c r="B784" s="2" t="s">
        <v>48</v>
      </c>
      <c r="C784" s="33" t="s">
        <v>33</v>
      </c>
      <c r="D784" s="19" t="s">
        <v>16</v>
      </c>
      <c r="E784" s="115" t="s">
        <v>152</v>
      </c>
      <c r="F784" s="116"/>
      <c r="G784" s="99" t="s">
        <v>150</v>
      </c>
      <c r="H784" s="117" t="s">
        <v>49</v>
      </c>
      <c r="I784" s="118"/>
      <c r="J784" s="117" t="s">
        <v>151</v>
      </c>
      <c r="K784" s="118"/>
      <c r="L784" s="5" t="s">
        <v>50</v>
      </c>
      <c r="M784" s="5" t="s">
        <v>51</v>
      </c>
      <c r="N784" s="117" t="s">
        <v>155</v>
      </c>
      <c r="O784" s="118"/>
    </row>
    <row r="785" spans="1:15" x14ac:dyDescent="0.25">
      <c r="B785" s="2" t="s">
        <v>52</v>
      </c>
      <c r="C785" s="15" t="s">
        <v>33</v>
      </c>
      <c r="D785" s="95" t="s">
        <v>177</v>
      </c>
      <c r="E785" s="119" t="s">
        <v>471</v>
      </c>
      <c r="F785" s="119"/>
      <c r="G785" s="96">
        <v>712</v>
      </c>
      <c r="H785" s="120" t="s">
        <v>14</v>
      </c>
      <c r="I785" s="121"/>
      <c r="J785" s="122">
        <v>0.1</v>
      </c>
      <c r="K785" s="123"/>
      <c r="L785" s="20">
        <f>+E779*J785</f>
        <v>18.729704399999999</v>
      </c>
      <c r="M785" s="124">
        <f>+L785+L786</f>
        <v>143.59440040000001</v>
      </c>
      <c r="N785" s="126">
        <f>+E780-M785</f>
        <v>1604.5113435999999</v>
      </c>
      <c r="O785" s="127"/>
    </row>
    <row r="786" spans="1:15" x14ac:dyDescent="0.25">
      <c r="B786" s="2" t="s">
        <v>53</v>
      </c>
      <c r="C786" s="7">
        <v>505</v>
      </c>
      <c r="D786" s="95" t="s">
        <v>171</v>
      </c>
      <c r="E786" s="119" t="s">
        <v>467</v>
      </c>
      <c r="F786" s="119"/>
      <c r="G786" s="96">
        <v>320</v>
      </c>
      <c r="H786" s="120" t="s">
        <v>153</v>
      </c>
      <c r="I786" s="121"/>
      <c r="J786" s="122">
        <v>0.08</v>
      </c>
      <c r="K786" s="123"/>
      <c r="L786" s="20">
        <f>(E777+E776-E778)*J786</f>
        <v>124.86469600000001</v>
      </c>
      <c r="M786" s="125"/>
      <c r="N786" s="128"/>
      <c r="O786" s="129"/>
    </row>
    <row r="787" spans="1:15" x14ac:dyDescent="0.25">
      <c r="B787" s="2" t="s">
        <v>55</v>
      </c>
      <c r="C787" s="3" t="str">
        <f>+CONCATENATE(C778,"-",C779,"-",C780)</f>
        <v>001-001-124</v>
      </c>
    </row>
    <row r="788" spans="1:15" x14ac:dyDescent="0.25">
      <c r="B788" s="2" t="s">
        <v>57</v>
      </c>
      <c r="C788" s="21" t="str">
        <f>+C778</f>
        <v>001</v>
      </c>
    </row>
    <row r="789" spans="1:15" x14ac:dyDescent="0.25">
      <c r="B789" s="2" t="s">
        <v>86</v>
      </c>
      <c r="C789" s="21" t="s">
        <v>143</v>
      </c>
      <c r="E789" s="31" t="s">
        <v>279</v>
      </c>
    </row>
    <row r="790" spans="1:15" x14ac:dyDescent="0.25">
      <c r="B790" s="2" t="s">
        <v>58</v>
      </c>
      <c r="C790" s="21" t="s">
        <v>73</v>
      </c>
      <c r="E790" s="110" t="s">
        <v>330</v>
      </c>
    </row>
    <row r="791" spans="1:15" x14ac:dyDescent="0.25">
      <c r="B791" s="2" t="s">
        <v>60</v>
      </c>
      <c r="C791" s="21" t="s">
        <v>74</v>
      </c>
      <c r="D791" s="95" t="s">
        <v>154</v>
      </c>
    </row>
    <row r="792" spans="1:15" x14ac:dyDescent="0.25">
      <c r="B792" s="2" t="s">
        <v>61</v>
      </c>
      <c r="C792" s="27">
        <f>+(E780-M785)*D792</f>
        <v>481.35340307999996</v>
      </c>
      <c r="D792" s="43">
        <v>0.3</v>
      </c>
    </row>
    <row r="793" spans="1:15" x14ac:dyDescent="0.25">
      <c r="B793" s="2" t="s">
        <v>60</v>
      </c>
      <c r="C793" s="21" t="s">
        <v>75</v>
      </c>
      <c r="D793" s="95" t="s">
        <v>154</v>
      </c>
    </row>
    <row r="794" spans="1:15" x14ac:dyDescent="0.25">
      <c r="B794" s="2" t="s">
        <v>61</v>
      </c>
      <c r="C794" s="27">
        <f>+(E780-M785)*D794</f>
        <v>481.35340307999996</v>
      </c>
      <c r="D794" s="43">
        <v>0.3</v>
      </c>
      <c r="E794" s="28"/>
      <c r="F794" s="28"/>
      <c r="H794" s="23"/>
      <c r="I794" s="23"/>
      <c r="J794" s="24"/>
      <c r="K794" s="24"/>
      <c r="L794" s="25"/>
      <c r="M794" s="26"/>
      <c r="N794" s="22"/>
      <c r="O794" s="22"/>
    </row>
    <row r="795" spans="1:15" x14ac:dyDescent="0.25">
      <c r="B795" s="2" t="s">
        <v>58</v>
      </c>
      <c r="C795" s="21" t="s">
        <v>76</v>
      </c>
      <c r="D795" s="95"/>
    </row>
    <row r="796" spans="1:15" x14ac:dyDescent="0.25">
      <c r="B796" s="2" t="s">
        <v>60</v>
      </c>
      <c r="C796" s="21" t="s">
        <v>89</v>
      </c>
      <c r="D796" s="95" t="s">
        <v>154</v>
      </c>
    </row>
    <row r="797" spans="1:15" x14ac:dyDescent="0.25">
      <c r="B797" s="2" t="s">
        <v>61</v>
      </c>
      <c r="C797" s="27">
        <f>+(E780-M785)*D797</f>
        <v>641.80453743999999</v>
      </c>
      <c r="D797" s="43">
        <v>0.4</v>
      </c>
    </row>
    <row r="798" spans="1:15" x14ac:dyDescent="0.25">
      <c r="C798" s="36"/>
    </row>
    <row r="799" spans="1:15" x14ac:dyDescent="0.25">
      <c r="C799" s="36"/>
    </row>
    <row r="800" spans="1:15" ht="26.25" x14ac:dyDescent="0.4">
      <c r="A800" s="34" t="s">
        <v>268</v>
      </c>
      <c r="B800" s="34" t="s">
        <v>145</v>
      </c>
      <c r="C800" s="1" t="s">
        <v>435</v>
      </c>
    </row>
    <row r="801" spans="2:18" x14ac:dyDescent="0.25">
      <c r="B801" s="112" t="s">
        <v>398</v>
      </c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</row>
    <row r="802" spans="2:18" x14ac:dyDescent="0.25">
      <c r="B802" s="2" t="s">
        <v>6</v>
      </c>
      <c r="C802" s="3" t="s">
        <v>67</v>
      </c>
      <c r="D802" s="100" t="s">
        <v>8</v>
      </c>
      <c r="E802" s="5" t="s">
        <v>9</v>
      </c>
      <c r="F802" s="5" t="s">
        <v>14</v>
      </c>
      <c r="G802" s="5" t="s">
        <v>10</v>
      </c>
      <c r="H802" s="5" t="s">
        <v>11</v>
      </c>
      <c r="I802" s="5" t="s">
        <v>148</v>
      </c>
      <c r="J802" s="5" t="s">
        <v>149</v>
      </c>
      <c r="K802" s="5" t="s">
        <v>12</v>
      </c>
      <c r="L802" s="5" t="s">
        <v>13</v>
      </c>
      <c r="M802" s="5" t="s">
        <v>40</v>
      </c>
      <c r="N802" s="5" t="s">
        <v>14</v>
      </c>
      <c r="O802" s="5" t="s">
        <v>15</v>
      </c>
      <c r="P802" s="5" t="s">
        <v>16</v>
      </c>
      <c r="Q802" s="5" t="s">
        <v>17</v>
      </c>
      <c r="R802" s="5" t="s">
        <v>18</v>
      </c>
    </row>
    <row r="803" spans="2:18" x14ac:dyDescent="0.25">
      <c r="B803" s="2" t="s">
        <v>19</v>
      </c>
      <c r="C803" s="15" t="s">
        <v>68</v>
      </c>
      <c r="D803" s="7">
        <v>118.47</v>
      </c>
      <c r="E803" s="95" t="s">
        <v>95</v>
      </c>
      <c r="F803" s="43">
        <v>0.12</v>
      </c>
      <c r="G803" s="35" t="s">
        <v>99</v>
      </c>
      <c r="H803" s="51">
        <v>1.47</v>
      </c>
      <c r="I803" s="51">
        <f>+IF(F803=0%,D803*H803,0)</f>
        <v>0</v>
      </c>
      <c r="J803" s="51">
        <f>+IF(F803=12%,D803*H803,0)</f>
        <v>174.15090000000001</v>
      </c>
      <c r="K803" s="52">
        <v>0</v>
      </c>
      <c r="L803" s="53">
        <v>0</v>
      </c>
      <c r="M803" s="53">
        <f>+J803*K803</f>
        <v>0</v>
      </c>
      <c r="N803" s="53">
        <f>+(J803-M803)*F803</f>
        <v>20.898108000000001</v>
      </c>
      <c r="O803" s="53">
        <f>+J803-M803+N803</f>
        <v>195.04900800000001</v>
      </c>
      <c r="P803" s="7" t="s">
        <v>45</v>
      </c>
      <c r="Q803" s="7" t="s">
        <v>46</v>
      </c>
      <c r="R803" s="7" t="s">
        <v>45</v>
      </c>
    </row>
    <row r="804" spans="2:18" x14ac:dyDescent="0.25">
      <c r="B804" s="2" t="s">
        <v>21</v>
      </c>
      <c r="C804" s="15" t="s">
        <v>22</v>
      </c>
      <c r="D804" s="7">
        <v>249.58</v>
      </c>
      <c r="E804" s="95" t="s">
        <v>96</v>
      </c>
      <c r="F804" s="43">
        <v>0.12</v>
      </c>
      <c r="G804" s="35" t="s">
        <v>100</v>
      </c>
      <c r="H804" s="51">
        <v>2.96</v>
      </c>
      <c r="I804" s="51">
        <f>+IF(F804=0%,D804*H804,0)</f>
        <v>0</v>
      </c>
      <c r="J804" s="51">
        <f>+IF(F804=12%,D804*H804,0)</f>
        <v>738.7568</v>
      </c>
      <c r="K804" s="52">
        <v>0</v>
      </c>
      <c r="L804" s="53">
        <v>0</v>
      </c>
      <c r="M804" s="53">
        <f>+J804*K804</f>
        <v>0</v>
      </c>
      <c r="N804" s="53">
        <f>+(J804-M804)*F804</f>
        <v>88.650815999999992</v>
      </c>
      <c r="O804" s="53">
        <f>+J804-M804+N804</f>
        <v>827.40761599999996</v>
      </c>
      <c r="P804" s="7" t="s">
        <v>45</v>
      </c>
      <c r="Q804" s="95" t="s">
        <v>46</v>
      </c>
      <c r="R804" s="7" t="s">
        <v>45</v>
      </c>
    </row>
    <row r="805" spans="2:18" ht="30" x14ac:dyDescent="0.25">
      <c r="B805" s="2" t="s">
        <v>23</v>
      </c>
      <c r="C805" s="30" t="s">
        <v>70</v>
      </c>
      <c r="D805" s="7">
        <v>73.540000000000006</v>
      </c>
      <c r="E805" s="95" t="s">
        <v>97</v>
      </c>
      <c r="F805" s="43">
        <v>0.12</v>
      </c>
      <c r="G805" s="35" t="s">
        <v>101</v>
      </c>
      <c r="H805" s="51">
        <v>3.15</v>
      </c>
      <c r="I805" s="51">
        <f>+IF(F805=0%,D805*H805,0)</f>
        <v>0</v>
      </c>
      <c r="J805" s="51">
        <f>+IF(F805=12%,D805*H805,0)</f>
        <v>231.65100000000001</v>
      </c>
      <c r="K805" s="52">
        <v>0</v>
      </c>
      <c r="L805" s="53">
        <v>0</v>
      </c>
      <c r="M805" s="53">
        <f>+J805*K805</f>
        <v>0</v>
      </c>
      <c r="N805" s="53">
        <f>+(J805-M805)*F805</f>
        <v>27.798120000000001</v>
      </c>
      <c r="O805" s="53">
        <f>+J805-M805+N805</f>
        <v>259.44911999999999</v>
      </c>
      <c r="P805" s="7" t="s">
        <v>45</v>
      </c>
      <c r="Q805" s="95" t="s">
        <v>46</v>
      </c>
      <c r="R805" s="7" t="s">
        <v>45</v>
      </c>
    </row>
    <row r="806" spans="2:18" x14ac:dyDescent="0.25">
      <c r="B806" s="2" t="s">
        <v>26</v>
      </c>
      <c r="C806" s="12" t="s">
        <v>71</v>
      </c>
      <c r="D806" s="7">
        <v>29</v>
      </c>
      <c r="E806" s="95" t="s">
        <v>98</v>
      </c>
      <c r="F806" s="43">
        <v>0.12</v>
      </c>
      <c r="G806" s="35" t="s">
        <v>102</v>
      </c>
      <c r="H806" s="51">
        <v>1.25</v>
      </c>
      <c r="I806" s="51">
        <f>+IF(F806=0%,D806*H806,0)</f>
        <v>0</v>
      </c>
      <c r="J806" s="51">
        <f>+IF(F806=12%,D806*H806,0)</f>
        <v>36.25</v>
      </c>
      <c r="K806" s="52">
        <v>0</v>
      </c>
      <c r="L806" s="53">
        <v>0</v>
      </c>
      <c r="M806" s="53">
        <f>+J806*K806</f>
        <v>0</v>
      </c>
      <c r="N806" s="53">
        <f>+(J806-M806)*F806</f>
        <v>4.3499999999999996</v>
      </c>
      <c r="O806" s="53">
        <f>+J806-M806+N806</f>
        <v>40.6</v>
      </c>
      <c r="P806" s="7" t="s">
        <v>45</v>
      </c>
      <c r="Q806" s="95" t="s">
        <v>46</v>
      </c>
      <c r="R806" s="7" t="s">
        <v>45</v>
      </c>
    </row>
    <row r="807" spans="2:18" x14ac:dyDescent="0.25">
      <c r="B807" s="2" t="s">
        <v>27</v>
      </c>
      <c r="C807" s="3" t="s">
        <v>28</v>
      </c>
      <c r="D807" s="97">
        <v>1</v>
      </c>
      <c r="E807" t="s">
        <v>433</v>
      </c>
      <c r="F807" s="43">
        <v>0.12</v>
      </c>
      <c r="G807" t="s">
        <v>362</v>
      </c>
      <c r="H807" s="51">
        <v>380</v>
      </c>
      <c r="I807" s="51">
        <f>+IF(F807=0%,D807*H807,0)</f>
        <v>0</v>
      </c>
      <c r="J807" s="51">
        <f>+IF(F807=12%,D807*H807,0)</f>
        <v>380</v>
      </c>
      <c r="K807" s="52">
        <v>0</v>
      </c>
      <c r="L807" s="53">
        <v>0</v>
      </c>
      <c r="M807" s="53">
        <f>+J807*K807</f>
        <v>0</v>
      </c>
      <c r="N807" s="53">
        <f>+(J807-M807)*F807</f>
        <v>45.6</v>
      </c>
      <c r="O807" s="53">
        <f>+J807-M807+N807</f>
        <v>425.6</v>
      </c>
      <c r="P807" s="7" t="s">
        <v>276</v>
      </c>
      <c r="Q807" s="7" t="s">
        <v>277</v>
      </c>
      <c r="R807" s="7" t="s">
        <v>25</v>
      </c>
    </row>
    <row r="808" spans="2:18" ht="15.75" thickBot="1" x14ac:dyDescent="0.3">
      <c r="B808" s="2" t="s">
        <v>29</v>
      </c>
      <c r="C808" s="3">
        <v>1</v>
      </c>
      <c r="D808" s="97"/>
      <c r="E808" s="95"/>
      <c r="F808" s="95"/>
      <c r="G808" s="95"/>
      <c r="H808" s="10"/>
      <c r="I808" s="10"/>
      <c r="J808" s="10"/>
      <c r="K808" s="10"/>
      <c r="L808" s="95"/>
      <c r="M808" s="10"/>
      <c r="N808" s="10"/>
      <c r="O808" s="11"/>
      <c r="P808" s="95"/>
      <c r="Q808" s="95"/>
      <c r="R808" s="7"/>
    </row>
    <row r="809" spans="2:18" ht="15.75" thickBot="1" x14ac:dyDescent="0.3">
      <c r="B809" s="2" t="s">
        <v>30</v>
      </c>
      <c r="C809" s="7">
        <v>1122728319</v>
      </c>
      <c r="D809" s="16" t="s">
        <v>34</v>
      </c>
      <c r="E809" s="40">
        <f>+SUM(I803:I806)</f>
        <v>0</v>
      </c>
    </row>
    <row r="810" spans="2:18" ht="15.75" thickBot="1" x14ac:dyDescent="0.3">
      <c r="B810" s="2" t="s">
        <v>31</v>
      </c>
      <c r="C810" s="14">
        <v>43505</v>
      </c>
      <c r="D810" s="16" t="s">
        <v>36</v>
      </c>
      <c r="E810" s="17">
        <f>+SUM(J803:J808)</f>
        <v>1560.8087</v>
      </c>
    </row>
    <row r="811" spans="2:18" ht="15.75" thickBot="1" x14ac:dyDescent="0.3">
      <c r="B811" s="2" t="s">
        <v>32</v>
      </c>
      <c r="C811" s="15" t="s">
        <v>33</v>
      </c>
      <c r="D811" s="16" t="s">
        <v>39</v>
      </c>
      <c r="E811" s="17">
        <f>SUM(M803:M808)</f>
        <v>0</v>
      </c>
    </row>
    <row r="812" spans="2:18" ht="15.75" thickBot="1" x14ac:dyDescent="0.3">
      <c r="B812" s="2" t="s">
        <v>35</v>
      </c>
      <c r="C812" s="15" t="s">
        <v>33</v>
      </c>
      <c r="D812" s="16" t="s">
        <v>14</v>
      </c>
      <c r="E812" s="17">
        <f>SUM(N803:N808)</f>
        <v>187.297044</v>
      </c>
    </row>
    <row r="813" spans="2:18" ht="15.75" thickBot="1" x14ac:dyDescent="0.3">
      <c r="B813" s="2" t="s">
        <v>37</v>
      </c>
      <c r="C813" s="15" t="s">
        <v>273</v>
      </c>
      <c r="D813" s="16" t="s">
        <v>15</v>
      </c>
      <c r="E813" s="17">
        <f>SUM(O803:O808)</f>
        <v>1748.105744</v>
      </c>
    </row>
    <row r="814" spans="2:18" x14ac:dyDescent="0.25">
      <c r="B814" s="18"/>
      <c r="C814" s="18"/>
    </row>
    <row r="816" spans="2:18" x14ac:dyDescent="0.25">
      <c r="B816" s="114" t="s">
        <v>399</v>
      </c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</row>
    <row r="817" spans="1:18" x14ac:dyDescent="0.25">
      <c r="B817" s="2" t="s">
        <v>48</v>
      </c>
      <c r="C817" s="15" t="s">
        <v>33</v>
      </c>
      <c r="D817" s="19" t="s">
        <v>16</v>
      </c>
      <c r="E817" s="115" t="s">
        <v>152</v>
      </c>
      <c r="F817" s="116"/>
      <c r="G817" s="99" t="s">
        <v>150</v>
      </c>
      <c r="H817" s="117" t="s">
        <v>49</v>
      </c>
      <c r="I817" s="118"/>
      <c r="J817" s="117" t="s">
        <v>151</v>
      </c>
      <c r="K817" s="118"/>
      <c r="L817" s="5" t="s">
        <v>50</v>
      </c>
      <c r="M817" s="5" t="s">
        <v>51</v>
      </c>
      <c r="N817" s="117" t="s">
        <v>155</v>
      </c>
      <c r="O817" s="118"/>
    </row>
    <row r="818" spans="1:18" x14ac:dyDescent="0.25">
      <c r="B818" s="2" t="s">
        <v>52</v>
      </c>
      <c r="C818" s="15" t="s">
        <v>33</v>
      </c>
      <c r="D818" s="95" t="s">
        <v>181</v>
      </c>
      <c r="E818" s="119" t="s">
        <v>472</v>
      </c>
      <c r="F818" s="119"/>
      <c r="G818" s="96">
        <v>723</v>
      </c>
      <c r="H818" s="120" t="s">
        <v>14</v>
      </c>
      <c r="I818" s="121"/>
      <c r="J818" s="122">
        <v>0.2</v>
      </c>
      <c r="K818" s="123"/>
      <c r="L818" s="20">
        <f>+E812*J818</f>
        <v>37.459408799999999</v>
      </c>
      <c r="M818" s="124">
        <f>+L818+L819</f>
        <v>68.675582800000001</v>
      </c>
      <c r="N818" s="126">
        <f>+E813-M818</f>
        <v>1679.4301611999999</v>
      </c>
      <c r="O818" s="127"/>
    </row>
    <row r="819" spans="1:18" x14ac:dyDescent="0.25">
      <c r="B819" s="2" t="s">
        <v>53</v>
      </c>
      <c r="C819" s="15" t="s">
        <v>164</v>
      </c>
      <c r="D819" s="95" t="s">
        <v>175</v>
      </c>
      <c r="E819" s="119" t="s">
        <v>468</v>
      </c>
      <c r="F819" s="119"/>
      <c r="G819" s="96">
        <v>311</v>
      </c>
      <c r="H819" s="120" t="s">
        <v>153</v>
      </c>
      <c r="I819" s="121"/>
      <c r="J819" s="122">
        <v>0.02</v>
      </c>
      <c r="K819" s="123"/>
      <c r="L819" s="20">
        <f>(E810+E809-E811)*J819</f>
        <v>31.216174000000002</v>
      </c>
      <c r="M819" s="125"/>
      <c r="N819" s="128"/>
      <c r="O819" s="129"/>
    </row>
    <row r="820" spans="1:18" x14ac:dyDescent="0.25">
      <c r="B820" s="2" t="s">
        <v>55</v>
      </c>
      <c r="C820" s="3" t="str">
        <f>+CONCATENATE(C811,"-",C812,"-",C813)</f>
        <v>001-001-125</v>
      </c>
    </row>
    <row r="821" spans="1:18" x14ac:dyDescent="0.25">
      <c r="B821" s="2" t="s">
        <v>57</v>
      </c>
      <c r="C821" s="21">
        <f>+C810</f>
        <v>43505</v>
      </c>
    </row>
    <row r="822" spans="1:18" x14ac:dyDescent="0.25">
      <c r="B822" s="2" t="s">
        <v>86</v>
      </c>
      <c r="C822" s="21" t="s">
        <v>143</v>
      </c>
    </row>
    <row r="823" spans="1:18" x14ac:dyDescent="0.25">
      <c r="B823" s="2" t="s">
        <v>58</v>
      </c>
      <c r="C823" s="21" t="s">
        <v>73</v>
      </c>
      <c r="E823" s="31" t="s">
        <v>279</v>
      </c>
    </row>
    <row r="824" spans="1:18" x14ac:dyDescent="0.25">
      <c r="B824" s="2" t="s">
        <v>60</v>
      </c>
      <c r="C824" s="21" t="s">
        <v>74</v>
      </c>
      <c r="D824" s="95" t="s">
        <v>154</v>
      </c>
      <c r="E824" s="110" t="s">
        <v>330</v>
      </c>
    </row>
    <row r="825" spans="1:18" x14ac:dyDescent="0.25">
      <c r="B825" s="2" t="s">
        <v>61</v>
      </c>
      <c r="C825" s="27">
        <f>+(E813-M818)*D825</f>
        <v>1007.6580967199999</v>
      </c>
      <c r="D825" s="43">
        <v>0.6</v>
      </c>
    </row>
    <row r="826" spans="1:18" x14ac:dyDescent="0.25">
      <c r="B826" s="2" t="s">
        <v>147</v>
      </c>
      <c r="C826" s="21" t="s">
        <v>84</v>
      </c>
    </row>
    <row r="827" spans="1:18" x14ac:dyDescent="0.25">
      <c r="B827" s="2" t="s">
        <v>60</v>
      </c>
      <c r="C827" s="21" t="s">
        <v>85</v>
      </c>
      <c r="D827" s="95" t="s">
        <v>154</v>
      </c>
    </row>
    <row r="828" spans="1:18" x14ac:dyDescent="0.25">
      <c r="B828" s="2" t="s">
        <v>61</v>
      </c>
      <c r="C828" s="27">
        <f>+(E813-M818)*D828</f>
        <v>671.77206448000004</v>
      </c>
      <c r="D828" s="43">
        <v>0.4</v>
      </c>
    </row>
    <row r="830" spans="1:18" x14ac:dyDescent="0.25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</row>
    <row r="831" spans="1:18" ht="26.25" x14ac:dyDescent="0.4">
      <c r="A831" s="34" t="s">
        <v>286</v>
      </c>
      <c r="B831" s="34" t="s">
        <v>92</v>
      </c>
      <c r="C831" s="1" t="s">
        <v>436</v>
      </c>
    </row>
    <row r="832" spans="1:18" x14ac:dyDescent="0.25">
      <c r="B832" s="112" t="s">
        <v>398</v>
      </c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</row>
    <row r="833" spans="2:18" x14ac:dyDescent="0.25">
      <c r="B833" s="2" t="s">
        <v>6</v>
      </c>
      <c r="C833" s="3" t="s">
        <v>7</v>
      </c>
      <c r="D833" s="100" t="s">
        <v>8</v>
      </c>
      <c r="E833" s="5" t="s">
        <v>9</v>
      </c>
      <c r="F833" s="5" t="s">
        <v>14</v>
      </c>
      <c r="G833" s="5" t="s">
        <v>10</v>
      </c>
      <c r="H833" s="5" t="s">
        <v>11</v>
      </c>
      <c r="I833" s="5" t="s">
        <v>148</v>
      </c>
      <c r="J833" s="5" t="s">
        <v>149</v>
      </c>
      <c r="K833" s="5" t="s">
        <v>12</v>
      </c>
      <c r="L833" s="5" t="s">
        <v>13</v>
      </c>
      <c r="M833" s="5" t="s">
        <v>40</v>
      </c>
      <c r="N833" s="5" t="s">
        <v>14</v>
      </c>
      <c r="O833" s="5" t="s">
        <v>15</v>
      </c>
      <c r="P833" s="5" t="s">
        <v>16</v>
      </c>
      <c r="Q833" s="5" t="s">
        <v>17</v>
      </c>
      <c r="R833" s="5" t="s">
        <v>18</v>
      </c>
    </row>
    <row r="834" spans="2:18" x14ac:dyDescent="0.25">
      <c r="B834" s="2" t="s">
        <v>19</v>
      </c>
      <c r="C834" s="6" t="s">
        <v>20</v>
      </c>
      <c r="D834" s="95">
        <v>61</v>
      </c>
      <c r="E834" s="95" t="s">
        <v>103</v>
      </c>
      <c r="F834" s="43">
        <v>0.12</v>
      </c>
      <c r="G834" s="7" t="s">
        <v>104</v>
      </c>
      <c r="H834" s="51">
        <v>1.45</v>
      </c>
      <c r="I834" s="51">
        <f>+IF(F834=0%,D834*H834,0)</f>
        <v>0</v>
      </c>
      <c r="J834" s="51">
        <f>+IF(F834=12%,D834*H834,0)</f>
        <v>88.45</v>
      </c>
      <c r="K834" s="52">
        <v>0</v>
      </c>
      <c r="L834" s="53">
        <v>0</v>
      </c>
      <c r="M834" s="53">
        <f>+J834*K834</f>
        <v>0</v>
      </c>
      <c r="N834" s="53">
        <f>+(J834-M834)*F834</f>
        <v>10.614000000000001</v>
      </c>
      <c r="O834" s="53">
        <f>+J834-M834+N834</f>
        <v>99.064000000000007</v>
      </c>
      <c r="P834" s="7" t="s">
        <v>45</v>
      </c>
      <c r="Q834" s="7" t="s">
        <v>46</v>
      </c>
      <c r="R834" s="7" t="s">
        <v>45</v>
      </c>
    </row>
    <row r="835" spans="2:18" x14ac:dyDescent="0.25">
      <c r="B835" s="2" t="s">
        <v>21</v>
      </c>
      <c r="C835" s="15" t="s">
        <v>22</v>
      </c>
      <c r="D835" s="95">
        <v>56.21</v>
      </c>
      <c r="E835" s="95" t="s">
        <v>105</v>
      </c>
      <c r="F835" s="43">
        <v>0.12</v>
      </c>
      <c r="G835" s="7" t="s">
        <v>106</v>
      </c>
      <c r="H835" s="51">
        <v>2.96</v>
      </c>
      <c r="I835" s="51">
        <f>+IF(F835=0%,D835*H835,0)</f>
        <v>0</v>
      </c>
      <c r="J835" s="51">
        <f>+IF(F835=12%,D835*H835,0)</f>
        <v>166.38159999999999</v>
      </c>
      <c r="K835" s="52">
        <v>0</v>
      </c>
      <c r="L835" s="53">
        <v>0</v>
      </c>
      <c r="M835" s="53">
        <f>+J835*K835</f>
        <v>0</v>
      </c>
      <c r="N835" s="53">
        <f>+(J835-M835)*F835</f>
        <v>19.965791999999997</v>
      </c>
      <c r="O835" s="53">
        <f>+J835-M835+N835</f>
        <v>186.34739199999999</v>
      </c>
      <c r="P835" s="7" t="s">
        <v>45</v>
      </c>
      <c r="Q835" s="95" t="s">
        <v>46</v>
      </c>
      <c r="R835" s="7" t="s">
        <v>45</v>
      </c>
    </row>
    <row r="836" spans="2:18" ht="30" x14ac:dyDescent="0.25">
      <c r="B836" s="2" t="s">
        <v>23</v>
      </c>
      <c r="C836" s="8" t="s">
        <v>70</v>
      </c>
      <c r="D836" s="97">
        <v>49</v>
      </c>
      <c r="E836" s="95" t="s">
        <v>107</v>
      </c>
      <c r="F836" s="43">
        <v>0.12</v>
      </c>
      <c r="G836" s="7" t="s">
        <v>108</v>
      </c>
      <c r="H836" s="51">
        <v>3.15</v>
      </c>
      <c r="I836" s="51">
        <f>+IF(F836=0%,D836*H836,0)</f>
        <v>0</v>
      </c>
      <c r="J836" s="51">
        <f>+IF(F836=12%,D836*H836,0)</f>
        <v>154.35</v>
      </c>
      <c r="K836" s="52">
        <v>0</v>
      </c>
      <c r="L836" s="53">
        <v>0</v>
      </c>
      <c r="M836" s="53">
        <f>+J836*K836</f>
        <v>0</v>
      </c>
      <c r="N836" s="53">
        <f>+(J836-M836)*F836</f>
        <v>18.521999999999998</v>
      </c>
      <c r="O836" s="53">
        <f>+J836-M836+N836</f>
        <v>172.87199999999999</v>
      </c>
      <c r="P836" s="7" t="s">
        <v>45</v>
      </c>
      <c r="Q836" s="95" t="s">
        <v>46</v>
      </c>
      <c r="R836" s="7" t="s">
        <v>45</v>
      </c>
    </row>
    <row r="837" spans="2:18" x14ac:dyDescent="0.25">
      <c r="B837" s="2" t="s">
        <v>26</v>
      </c>
      <c r="C837" s="12" t="s">
        <v>71</v>
      </c>
      <c r="D837" s="97">
        <v>12.2</v>
      </c>
      <c r="E837" s="95" t="s">
        <v>109</v>
      </c>
      <c r="F837" s="43">
        <v>0.12</v>
      </c>
      <c r="G837" s="7" t="s">
        <v>110</v>
      </c>
      <c r="H837" s="51">
        <v>1.25</v>
      </c>
      <c r="I837" s="51">
        <f>+IF(F837=0%,D837*H837,0)</f>
        <v>0</v>
      </c>
      <c r="J837" s="51">
        <f>+IF(F837=12%,D837*H837,0)</f>
        <v>15.25</v>
      </c>
      <c r="K837" s="52">
        <v>0</v>
      </c>
      <c r="L837" s="53">
        <v>0</v>
      </c>
      <c r="M837" s="53">
        <f>+J837*K837</f>
        <v>0</v>
      </c>
      <c r="N837" s="53">
        <f>+(J837-M837)*F837</f>
        <v>1.8299999999999998</v>
      </c>
      <c r="O837" s="53">
        <f>+J837-M837+N837</f>
        <v>17.079999999999998</v>
      </c>
      <c r="P837" s="7" t="s">
        <v>45</v>
      </c>
      <c r="Q837" s="95" t="s">
        <v>46</v>
      </c>
      <c r="R837" s="7" t="s">
        <v>45</v>
      </c>
    </row>
    <row r="838" spans="2:18" x14ac:dyDescent="0.25">
      <c r="B838" s="2" t="s">
        <v>27</v>
      </c>
      <c r="C838" s="3" t="s">
        <v>28</v>
      </c>
      <c r="D838" s="95">
        <v>1</v>
      </c>
      <c r="E838" s="95" t="s">
        <v>429</v>
      </c>
      <c r="F838" s="43">
        <v>0.12</v>
      </c>
      <c r="G838" t="s">
        <v>359</v>
      </c>
      <c r="H838" s="10">
        <v>250</v>
      </c>
      <c r="I838" s="10">
        <f>+IF(F838=0%,D838*H838,0)</f>
        <v>0</v>
      </c>
      <c r="J838" s="10">
        <f>+IF(F838=12%,D838*H838,0)</f>
        <v>250</v>
      </c>
      <c r="K838" s="52">
        <v>0</v>
      </c>
      <c r="L838" s="53">
        <v>0</v>
      </c>
      <c r="M838" s="53">
        <f>+J838*K838</f>
        <v>0</v>
      </c>
      <c r="N838" s="53">
        <f>+(J838-M838)*F838</f>
        <v>30</v>
      </c>
      <c r="O838" s="53">
        <f>+J838-M838+N838</f>
        <v>280</v>
      </c>
      <c r="P838" s="35" t="s">
        <v>275</v>
      </c>
      <c r="Q838" s="95" t="s">
        <v>274</v>
      </c>
      <c r="R838" s="7" t="s">
        <v>25</v>
      </c>
    </row>
    <row r="839" spans="2:18" x14ac:dyDescent="0.25">
      <c r="B839" s="2" t="s">
        <v>29</v>
      </c>
      <c r="C839" s="3">
        <v>1</v>
      </c>
      <c r="D839" s="95"/>
      <c r="E839" s="95"/>
      <c r="F839" s="95"/>
      <c r="G839" s="95"/>
      <c r="H839" s="10"/>
      <c r="I839" s="10"/>
      <c r="J839" s="10"/>
      <c r="K839" s="10"/>
      <c r="L839" s="95"/>
      <c r="M839" s="10"/>
      <c r="N839" s="10"/>
      <c r="O839" s="11"/>
      <c r="P839" s="95"/>
      <c r="Q839" s="95"/>
      <c r="R839" s="7"/>
    </row>
    <row r="840" spans="2:18" ht="15.75" thickBot="1" x14ac:dyDescent="0.3">
      <c r="B840" s="2" t="s">
        <v>30</v>
      </c>
      <c r="C840" s="7">
        <v>1120335552</v>
      </c>
      <c r="D840" s="39" t="s">
        <v>148</v>
      </c>
      <c r="E840" s="49">
        <f>+SUM(I834:I837)</f>
        <v>0</v>
      </c>
      <c r="G840" s="23"/>
      <c r="H840" s="41"/>
      <c r="I840" s="41"/>
      <c r="J840" s="41"/>
      <c r="K840" s="41"/>
      <c r="L840" s="23"/>
      <c r="M840" s="41"/>
      <c r="N840" s="41"/>
      <c r="O840" s="42"/>
      <c r="P840" s="23"/>
      <c r="Q840" s="23"/>
      <c r="R840" s="22"/>
    </row>
    <row r="841" spans="2:18" ht="15.75" thickBot="1" x14ac:dyDescent="0.3">
      <c r="B841" s="2" t="s">
        <v>31</v>
      </c>
      <c r="C841" s="14">
        <v>43510</v>
      </c>
      <c r="D841" s="16" t="s">
        <v>36</v>
      </c>
      <c r="E841" s="50">
        <f>+SUM(J834:J839)</f>
        <v>674.4316</v>
      </c>
      <c r="G841" s="23"/>
      <c r="H841" s="41"/>
      <c r="I841" s="41"/>
      <c r="J841" s="41"/>
      <c r="K841" s="41"/>
      <c r="L841" s="23"/>
      <c r="M841" s="41"/>
      <c r="N841" s="41"/>
      <c r="O841" s="42"/>
      <c r="P841" s="23"/>
      <c r="Q841" s="23"/>
      <c r="R841" s="22"/>
    </row>
    <row r="842" spans="2:18" ht="15.75" thickBot="1" x14ac:dyDescent="0.3">
      <c r="B842" s="2" t="s">
        <v>32</v>
      </c>
      <c r="C842" s="15" t="s">
        <v>33</v>
      </c>
      <c r="D842" s="16" t="s">
        <v>39</v>
      </c>
      <c r="E842" s="50">
        <f>SUM(M834:M839)</f>
        <v>0</v>
      </c>
    </row>
    <row r="843" spans="2:18" ht="15.75" thickBot="1" x14ac:dyDescent="0.3">
      <c r="B843" s="2" t="s">
        <v>35</v>
      </c>
      <c r="C843" s="15" t="s">
        <v>33</v>
      </c>
      <c r="D843" s="16" t="s">
        <v>14</v>
      </c>
      <c r="E843" s="50">
        <f>SUM(N834:N839)</f>
        <v>80.931792000000002</v>
      </c>
    </row>
    <row r="844" spans="2:18" ht="15.75" thickBot="1" x14ac:dyDescent="0.3">
      <c r="B844" s="2" t="s">
        <v>37</v>
      </c>
      <c r="C844" s="15" t="s">
        <v>363</v>
      </c>
      <c r="D844" s="16" t="s">
        <v>15</v>
      </c>
      <c r="E844" s="50">
        <f>SUM(O834:O839)</f>
        <v>755.36339199999998</v>
      </c>
    </row>
    <row r="845" spans="2:18" x14ac:dyDescent="0.25">
      <c r="B845" s="18"/>
      <c r="C845" s="18"/>
    </row>
    <row r="846" spans="2:18" x14ac:dyDescent="0.25">
      <c r="B846" s="18"/>
      <c r="C846" s="18"/>
    </row>
    <row r="847" spans="2:18" x14ac:dyDescent="0.25">
      <c r="B847" s="114" t="s">
        <v>457</v>
      </c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</row>
    <row r="848" spans="2:18" x14ac:dyDescent="0.25">
      <c r="B848" s="2" t="s">
        <v>86</v>
      </c>
      <c r="C848" s="21" t="s">
        <v>87</v>
      </c>
      <c r="D848" s="22"/>
      <c r="F848" s="23"/>
      <c r="H848" s="23"/>
      <c r="I848" s="23"/>
      <c r="J848" s="24"/>
      <c r="K848" s="24"/>
      <c r="L848" s="25"/>
      <c r="M848" s="26"/>
      <c r="N848" s="22"/>
      <c r="O848" s="22"/>
    </row>
    <row r="849" spans="1:18" x14ac:dyDescent="0.25">
      <c r="B849" s="2" t="s">
        <v>59</v>
      </c>
      <c r="C849" s="21" t="s">
        <v>84</v>
      </c>
      <c r="D849" s="22"/>
      <c r="E849" s="23"/>
      <c r="F849" s="23"/>
      <c r="H849" s="23"/>
      <c r="I849" s="23"/>
      <c r="J849" s="24"/>
      <c r="K849" s="24"/>
      <c r="L849" s="25"/>
      <c r="M849" s="26"/>
      <c r="N849" s="22"/>
      <c r="O849" s="22"/>
    </row>
    <row r="850" spans="1:18" x14ac:dyDescent="0.25">
      <c r="B850" s="2" t="s">
        <v>60</v>
      </c>
      <c r="C850" s="21" t="s">
        <v>85</v>
      </c>
      <c r="D850" s="22"/>
      <c r="E850" s="28" t="s">
        <v>279</v>
      </c>
      <c r="F850" s="23"/>
      <c r="H850" s="23"/>
      <c r="I850" s="23"/>
      <c r="J850" s="24"/>
      <c r="K850" s="24"/>
      <c r="L850" s="25"/>
      <c r="M850" s="26"/>
      <c r="N850" s="22"/>
      <c r="O850" s="22"/>
    </row>
    <row r="851" spans="1:18" x14ac:dyDescent="0.25">
      <c r="B851" s="2" t="s">
        <v>61</v>
      </c>
      <c r="C851" s="27">
        <f>+E844</f>
        <v>755.36339199999998</v>
      </c>
      <c r="D851" s="22"/>
      <c r="E851" s="110" t="s">
        <v>330</v>
      </c>
      <c r="G851" s="23"/>
      <c r="H851" s="24"/>
      <c r="I851" s="24"/>
      <c r="J851" s="24"/>
      <c r="K851" s="25"/>
      <c r="L851" s="26"/>
      <c r="M851" s="22"/>
      <c r="N851" s="22"/>
    </row>
    <row r="854" spans="1:18" ht="26.25" x14ac:dyDescent="0.4">
      <c r="A854" s="34" t="s">
        <v>268</v>
      </c>
      <c r="B854" s="34" t="s">
        <v>93</v>
      </c>
      <c r="C854" s="1" t="s">
        <v>437</v>
      </c>
    </row>
    <row r="855" spans="1:18" x14ac:dyDescent="0.25">
      <c r="B855" s="112" t="s">
        <v>398</v>
      </c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</row>
    <row r="856" spans="1:18" x14ac:dyDescent="0.25">
      <c r="B856" s="2" t="s">
        <v>6</v>
      </c>
      <c r="C856" s="3" t="s">
        <v>7</v>
      </c>
      <c r="D856" s="100" t="s">
        <v>8</v>
      </c>
      <c r="E856" s="5" t="s">
        <v>9</v>
      </c>
      <c r="F856" s="5" t="s">
        <v>14</v>
      </c>
      <c r="G856" s="5" t="s">
        <v>10</v>
      </c>
      <c r="H856" s="5" t="s">
        <v>11</v>
      </c>
      <c r="I856" s="5" t="s">
        <v>148</v>
      </c>
      <c r="J856" s="5" t="s">
        <v>149</v>
      </c>
      <c r="K856" s="5" t="s">
        <v>12</v>
      </c>
      <c r="L856" s="5" t="s">
        <v>13</v>
      </c>
      <c r="M856" s="5" t="s">
        <v>40</v>
      </c>
      <c r="N856" s="5" t="s">
        <v>14</v>
      </c>
      <c r="O856" s="5" t="s">
        <v>15</v>
      </c>
      <c r="P856" s="5" t="s">
        <v>16</v>
      </c>
      <c r="Q856" s="5" t="s">
        <v>17</v>
      </c>
      <c r="R856" s="5" t="s">
        <v>18</v>
      </c>
    </row>
    <row r="857" spans="1:18" x14ac:dyDescent="0.25">
      <c r="B857" s="2" t="s">
        <v>19</v>
      </c>
      <c r="C857" s="6" t="s">
        <v>20</v>
      </c>
      <c r="D857" s="95">
        <v>61</v>
      </c>
      <c r="E857" s="95" t="s">
        <v>41</v>
      </c>
      <c r="F857" s="43">
        <v>0.12</v>
      </c>
      <c r="G857" s="7" t="s">
        <v>104</v>
      </c>
      <c r="H857" s="51">
        <v>1.45</v>
      </c>
      <c r="I857" s="51">
        <f>+IF(F857=0%,D857*H857,0)</f>
        <v>0</v>
      </c>
      <c r="J857" s="51">
        <f>+IF(F857=12%,D857*H857,0)</f>
        <v>88.45</v>
      </c>
      <c r="K857" s="52">
        <v>0</v>
      </c>
      <c r="L857" s="53">
        <v>0</v>
      </c>
      <c r="M857" s="53">
        <f>+J857*K857</f>
        <v>0</v>
      </c>
      <c r="N857" s="53">
        <f>+(J857-M857)*F857</f>
        <v>10.614000000000001</v>
      </c>
      <c r="O857" s="53">
        <f>+J857-M857+N857</f>
        <v>99.064000000000007</v>
      </c>
      <c r="P857" s="7" t="s">
        <v>45</v>
      </c>
      <c r="Q857" s="7" t="s">
        <v>46</v>
      </c>
      <c r="R857" s="7" t="s">
        <v>45</v>
      </c>
    </row>
    <row r="858" spans="1:18" x14ac:dyDescent="0.25">
      <c r="B858" s="2" t="s">
        <v>21</v>
      </c>
      <c r="C858" s="15" t="s">
        <v>22</v>
      </c>
      <c r="D858" s="95">
        <v>56.21</v>
      </c>
      <c r="E858" s="95" t="s">
        <v>42</v>
      </c>
      <c r="F858" s="43">
        <v>0.12</v>
      </c>
      <c r="G858" s="7" t="s">
        <v>106</v>
      </c>
      <c r="H858" s="51">
        <v>2.96</v>
      </c>
      <c r="I858" s="51">
        <f>+IF(F858=0%,D858*H858,0)</f>
        <v>0</v>
      </c>
      <c r="J858" s="51">
        <f>+IF(F858=12%,D858*H858,0)</f>
        <v>166.38159999999999</v>
      </c>
      <c r="K858" s="52">
        <v>0</v>
      </c>
      <c r="L858" s="53">
        <v>0</v>
      </c>
      <c r="M858" s="53">
        <f>+J858*K858</f>
        <v>0</v>
      </c>
      <c r="N858" s="53">
        <f>+(J858-M858)*F858</f>
        <v>19.965791999999997</v>
      </c>
      <c r="O858" s="53">
        <f>+J858-M858+N858</f>
        <v>186.34739199999999</v>
      </c>
      <c r="P858" s="7" t="s">
        <v>45</v>
      </c>
      <c r="Q858" s="95" t="s">
        <v>46</v>
      </c>
      <c r="R858" s="7" t="s">
        <v>45</v>
      </c>
    </row>
    <row r="859" spans="1:18" ht="30" x14ac:dyDescent="0.25">
      <c r="B859" s="2" t="s">
        <v>23</v>
      </c>
      <c r="C859" s="30" t="s">
        <v>70</v>
      </c>
      <c r="D859" s="97">
        <v>49</v>
      </c>
      <c r="E859" s="95" t="s">
        <v>43</v>
      </c>
      <c r="F859" s="43">
        <v>0.12</v>
      </c>
      <c r="G859" s="7" t="s">
        <v>108</v>
      </c>
      <c r="H859" s="51">
        <v>3.15</v>
      </c>
      <c r="I859" s="51">
        <f>+IF(F859=0%,D859*H859,0)</f>
        <v>0</v>
      </c>
      <c r="J859" s="51">
        <f>+IF(F859=12%,D859*H859,0)</f>
        <v>154.35</v>
      </c>
      <c r="K859" s="52">
        <v>0</v>
      </c>
      <c r="L859" s="53">
        <v>0</v>
      </c>
      <c r="M859" s="53">
        <f>+J859*K859</f>
        <v>0</v>
      </c>
      <c r="N859" s="53">
        <f>+(J859-M859)*F859</f>
        <v>18.521999999999998</v>
      </c>
      <c r="O859" s="53">
        <f>+J859-M859+N859</f>
        <v>172.87199999999999</v>
      </c>
      <c r="P859" s="7" t="s">
        <v>45</v>
      </c>
      <c r="Q859" s="95" t="s">
        <v>46</v>
      </c>
      <c r="R859" s="7" t="s">
        <v>45</v>
      </c>
    </row>
    <row r="860" spans="1:18" x14ac:dyDescent="0.25">
      <c r="B860" s="2" t="s">
        <v>26</v>
      </c>
      <c r="C860" s="12" t="s">
        <v>71</v>
      </c>
      <c r="D860" s="97">
        <v>12.2</v>
      </c>
      <c r="E860" s="95" t="s">
        <v>44</v>
      </c>
      <c r="F860" s="43">
        <v>0.12</v>
      </c>
      <c r="G860" s="7" t="s">
        <v>110</v>
      </c>
      <c r="H860" s="51">
        <v>1.25</v>
      </c>
      <c r="I860" s="51">
        <f>+IF(F860=0%,D860*H860,0)</f>
        <v>0</v>
      </c>
      <c r="J860" s="51">
        <f>+IF(F860=12%,D860*H860,0)</f>
        <v>15.25</v>
      </c>
      <c r="K860" s="52">
        <v>0</v>
      </c>
      <c r="L860" s="53">
        <v>0</v>
      </c>
      <c r="M860" s="53">
        <f>+J860*K860</f>
        <v>0</v>
      </c>
      <c r="N860" s="53">
        <f>+(J860-M860)*F860</f>
        <v>1.8299999999999998</v>
      </c>
      <c r="O860" s="53">
        <f>+J860-M860+N860</f>
        <v>17.079999999999998</v>
      </c>
      <c r="P860" s="7" t="s">
        <v>45</v>
      </c>
      <c r="Q860" s="95" t="s">
        <v>46</v>
      </c>
      <c r="R860" s="7" t="s">
        <v>45</v>
      </c>
    </row>
    <row r="861" spans="1:18" x14ac:dyDescent="0.25">
      <c r="B861" s="2" t="s">
        <v>27</v>
      </c>
      <c r="C861" s="3" t="s">
        <v>28</v>
      </c>
      <c r="D861" s="95">
        <v>1</v>
      </c>
      <c r="E861" t="s">
        <v>429</v>
      </c>
      <c r="F861" s="43">
        <v>0.12</v>
      </c>
      <c r="G861" t="s">
        <v>359</v>
      </c>
      <c r="H861" s="10">
        <v>250</v>
      </c>
      <c r="I861" s="10">
        <f>+IF(F861=0%,D861*H861,0)</f>
        <v>0</v>
      </c>
      <c r="J861" s="10">
        <f>+IF(F861=12%,D861*H861,0)</f>
        <v>250</v>
      </c>
      <c r="K861" s="52">
        <v>0</v>
      </c>
      <c r="L861" s="53">
        <v>0</v>
      </c>
      <c r="M861" s="53">
        <f>+J861*K861</f>
        <v>0</v>
      </c>
      <c r="N861" s="53">
        <f>+(J861-M861)*F861</f>
        <v>30</v>
      </c>
      <c r="O861" s="53">
        <f>+J861-M861+N861</f>
        <v>280</v>
      </c>
      <c r="P861" s="35" t="s">
        <v>275</v>
      </c>
      <c r="Q861" s="95" t="s">
        <v>274</v>
      </c>
      <c r="R861" s="7" t="s">
        <v>25</v>
      </c>
    </row>
    <row r="862" spans="1:18" x14ac:dyDescent="0.25">
      <c r="B862" s="2" t="s">
        <v>29</v>
      </c>
      <c r="C862" s="3">
        <v>1</v>
      </c>
      <c r="D862" s="95"/>
      <c r="E862" s="95"/>
      <c r="F862" s="95"/>
      <c r="G862" s="95"/>
      <c r="H862" s="10"/>
      <c r="I862" s="10"/>
      <c r="J862" s="10"/>
      <c r="K862" s="10"/>
      <c r="L862" s="95"/>
      <c r="M862" s="10"/>
      <c r="N862" s="10"/>
      <c r="O862" s="11"/>
      <c r="P862" s="95"/>
      <c r="Q862" s="95"/>
      <c r="R862" s="7"/>
    </row>
    <row r="863" spans="1:18" ht="15.75" thickBot="1" x14ac:dyDescent="0.3">
      <c r="B863" s="2" t="s">
        <v>30</v>
      </c>
      <c r="C863" s="37">
        <v>1120335551</v>
      </c>
      <c r="D863" s="39" t="s">
        <v>34</v>
      </c>
      <c r="E863" s="40">
        <f>+SUM(I857:I862)</f>
        <v>0</v>
      </c>
      <c r="F863" s="23"/>
      <c r="G863" s="23"/>
      <c r="H863" s="41"/>
      <c r="I863" s="41"/>
      <c r="J863" s="41"/>
      <c r="K863" s="41"/>
      <c r="L863" s="23"/>
      <c r="M863" s="41"/>
      <c r="N863" s="41"/>
      <c r="O863" s="42"/>
      <c r="P863" s="23"/>
      <c r="Q863" s="23"/>
      <c r="R863" s="22"/>
    </row>
    <row r="864" spans="1:18" ht="15.75" thickBot="1" x14ac:dyDescent="0.3">
      <c r="B864" s="2" t="s">
        <v>31</v>
      </c>
      <c r="C864" s="14">
        <v>43510</v>
      </c>
      <c r="D864" s="16" t="s">
        <v>36</v>
      </c>
      <c r="E864" s="17">
        <f>+SUM(J857:J862)</f>
        <v>674.4316</v>
      </c>
      <c r="F864" s="23"/>
      <c r="G864" s="23"/>
      <c r="H864" s="41"/>
      <c r="I864" s="41"/>
      <c r="J864" s="41"/>
      <c r="K864" s="41"/>
      <c r="L864" s="23"/>
      <c r="M864" s="41"/>
      <c r="N864" s="41"/>
      <c r="O864" s="42"/>
      <c r="P864" s="23"/>
      <c r="Q864" s="23"/>
      <c r="R864" s="22"/>
    </row>
    <row r="865" spans="1:18" ht="15.75" thickBot="1" x14ac:dyDescent="0.3">
      <c r="B865" s="2" t="s">
        <v>32</v>
      </c>
      <c r="C865" s="15" t="s">
        <v>33</v>
      </c>
      <c r="D865" s="16" t="s">
        <v>39</v>
      </c>
      <c r="E865" s="17">
        <f>SUM(M857:M862)</f>
        <v>0</v>
      </c>
      <c r="F865" s="23"/>
    </row>
    <row r="866" spans="1:18" ht="15.75" thickBot="1" x14ac:dyDescent="0.3">
      <c r="B866" s="2" t="s">
        <v>35</v>
      </c>
      <c r="C866" s="15" t="s">
        <v>33</v>
      </c>
      <c r="D866" s="16" t="s">
        <v>14</v>
      </c>
      <c r="E866" s="17">
        <f>SUM(N857:N862)</f>
        <v>80.931792000000002</v>
      </c>
      <c r="F866" s="23"/>
    </row>
    <row r="867" spans="1:18" ht="15.75" thickBot="1" x14ac:dyDescent="0.3">
      <c r="B867" s="2" t="s">
        <v>37</v>
      </c>
      <c r="C867" s="15" t="s">
        <v>364</v>
      </c>
      <c r="D867" s="16" t="s">
        <v>15</v>
      </c>
      <c r="E867" s="17">
        <f>SUM(O857:O862)</f>
        <v>755.36339199999998</v>
      </c>
      <c r="F867" s="23"/>
    </row>
    <row r="868" spans="1:18" x14ac:dyDescent="0.25">
      <c r="B868" s="18"/>
      <c r="C868" s="18"/>
    </row>
    <row r="869" spans="1:18" x14ac:dyDescent="0.25">
      <c r="B869" s="18"/>
      <c r="C869" s="18"/>
    </row>
    <row r="870" spans="1:18" x14ac:dyDescent="0.25">
      <c r="B870" s="114" t="s">
        <v>457</v>
      </c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</row>
    <row r="871" spans="1:18" x14ac:dyDescent="0.25">
      <c r="B871" s="2" t="s">
        <v>86</v>
      </c>
      <c r="C871" s="21" t="s">
        <v>87</v>
      </c>
      <c r="D871" s="22"/>
      <c r="F871" s="23"/>
      <c r="G871" s="23"/>
      <c r="H871" s="23"/>
      <c r="I871" s="23"/>
      <c r="J871" s="24"/>
      <c r="K871" s="24"/>
      <c r="L871" s="25"/>
      <c r="M871" s="26"/>
      <c r="N871" s="22"/>
      <c r="O871" s="22"/>
    </row>
    <row r="872" spans="1:18" x14ac:dyDescent="0.25">
      <c r="B872" s="2" t="s">
        <v>59</v>
      </c>
      <c r="C872" s="21" t="s">
        <v>88</v>
      </c>
      <c r="D872" s="22"/>
      <c r="E872" s="23"/>
      <c r="F872" s="23"/>
      <c r="G872" s="23"/>
      <c r="H872" s="23"/>
      <c r="I872" s="23"/>
      <c r="J872" s="24"/>
      <c r="K872" s="24"/>
      <c r="L872" s="25"/>
      <c r="M872" s="26"/>
      <c r="N872" s="22"/>
      <c r="O872" s="22"/>
    </row>
    <row r="873" spans="1:18" x14ac:dyDescent="0.25">
      <c r="B873" s="2" t="s">
        <v>60</v>
      </c>
      <c r="C873" s="21" t="s">
        <v>89</v>
      </c>
      <c r="D873" s="22"/>
      <c r="E873" s="28" t="s">
        <v>279</v>
      </c>
      <c r="F873" s="23"/>
      <c r="G873" s="23"/>
      <c r="H873" s="23"/>
      <c r="I873" s="23"/>
      <c r="J873" s="24"/>
      <c r="K873" s="24"/>
      <c r="L873" s="25"/>
      <c r="M873" s="26"/>
      <c r="N873" s="22"/>
      <c r="O873" s="22"/>
    </row>
    <row r="874" spans="1:18" x14ac:dyDescent="0.25">
      <c r="B874" s="2" t="s">
        <v>61</v>
      </c>
      <c r="C874" s="27">
        <f>+E867</f>
        <v>755.36339199999998</v>
      </c>
      <c r="D874" s="22"/>
      <c r="E874" s="110" t="s">
        <v>330</v>
      </c>
      <c r="G874" s="23"/>
      <c r="H874" s="23"/>
      <c r="I874" s="24"/>
      <c r="J874" s="24"/>
      <c r="K874" s="25"/>
      <c r="L874" s="26"/>
      <c r="M874" s="22"/>
      <c r="N874" s="22"/>
    </row>
    <row r="877" spans="1:18" ht="26.25" x14ac:dyDescent="0.4">
      <c r="A877" s="34" t="s">
        <v>268</v>
      </c>
      <c r="B877" s="34" t="s">
        <v>94</v>
      </c>
      <c r="C877" s="1" t="s">
        <v>438</v>
      </c>
    </row>
    <row r="878" spans="1:18" x14ac:dyDescent="0.25">
      <c r="B878" s="112" t="s">
        <v>398</v>
      </c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</row>
    <row r="879" spans="1:18" x14ac:dyDescent="0.25">
      <c r="B879" s="2" t="s">
        <v>6</v>
      </c>
      <c r="C879" s="3" t="s">
        <v>7</v>
      </c>
      <c r="D879" s="100" t="s">
        <v>8</v>
      </c>
      <c r="E879" s="5" t="s">
        <v>9</v>
      </c>
      <c r="F879" s="5" t="s">
        <v>14</v>
      </c>
      <c r="G879" s="5" t="s">
        <v>10</v>
      </c>
      <c r="H879" s="5" t="s">
        <v>11</v>
      </c>
      <c r="I879" s="5" t="s">
        <v>148</v>
      </c>
      <c r="J879" s="5" t="s">
        <v>149</v>
      </c>
      <c r="K879" s="5" t="s">
        <v>12</v>
      </c>
      <c r="L879" s="5" t="s">
        <v>13</v>
      </c>
      <c r="M879" s="5" t="s">
        <v>40</v>
      </c>
      <c r="N879" s="5" t="s">
        <v>14</v>
      </c>
      <c r="O879" s="5" t="s">
        <v>15</v>
      </c>
      <c r="P879" s="5" t="s">
        <v>16</v>
      </c>
      <c r="Q879" s="5" t="s">
        <v>17</v>
      </c>
      <c r="R879" s="5" t="s">
        <v>18</v>
      </c>
    </row>
    <row r="880" spans="1:18" x14ac:dyDescent="0.25">
      <c r="B880" s="2" t="s">
        <v>19</v>
      </c>
      <c r="C880" s="6" t="s">
        <v>20</v>
      </c>
      <c r="D880" s="95">
        <v>61</v>
      </c>
      <c r="E880" s="95" t="s">
        <v>41</v>
      </c>
      <c r="F880" s="43">
        <v>0.12</v>
      </c>
      <c r="G880" s="7" t="s">
        <v>104</v>
      </c>
      <c r="H880" s="51">
        <v>1.45</v>
      </c>
      <c r="I880" s="51">
        <f>+IF(F880=0%,D880*H880,0)</f>
        <v>0</v>
      </c>
      <c r="J880" s="51">
        <f>+IF(F880=12%,D880*H880,0)</f>
        <v>88.45</v>
      </c>
      <c r="K880" s="52">
        <v>0</v>
      </c>
      <c r="L880" s="53">
        <v>0</v>
      </c>
      <c r="M880" s="53">
        <f>+J880*K880</f>
        <v>0</v>
      </c>
      <c r="N880" s="53">
        <f>+(J880-M880)*F880</f>
        <v>10.614000000000001</v>
      </c>
      <c r="O880" s="53">
        <f>+J880-M880+N880</f>
        <v>99.064000000000007</v>
      </c>
      <c r="P880" s="7" t="s">
        <v>45</v>
      </c>
      <c r="Q880" s="7" t="s">
        <v>46</v>
      </c>
      <c r="R880" s="7" t="s">
        <v>45</v>
      </c>
    </row>
    <row r="881" spans="2:18" x14ac:dyDescent="0.25">
      <c r="B881" s="2" t="s">
        <v>21</v>
      </c>
      <c r="C881" s="15" t="s">
        <v>22</v>
      </c>
      <c r="D881" s="95">
        <v>56.21</v>
      </c>
      <c r="E881" s="95" t="s">
        <v>42</v>
      </c>
      <c r="F881" s="43">
        <v>0.12</v>
      </c>
      <c r="G881" s="7" t="s">
        <v>106</v>
      </c>
      <c r="H881" s="51">
        <v>2.96</v>
      </c>
      <c r="I881" s="51">
        <f>+IF(F881=0%,D881*H881,0)</f>
        <v>0</v>
      </c>
      <c r="J881" s="51">
        <f>+IF(F881=12%,D881*H881,0)</f>
        <v>166.38159999999999</v>
      </c>
      <c r="K881" s="52">
        <v>0</v>
      </c>
      <c r="L881" s="53">
        <v>0</v>
      </c>
      <c r="M881" s="53">
        <f>+J881*K881</f>
        <v>0</v>
      </c>
      <c r="N881" s="53">
        <f>+(J881-M881)*F881</f>
        <v>19.965791999999997</v>
      </c>
      <c r="O881" s="53">
        <f>+J881-M881+N881</f>
        <v>186.34739199999999</v>
      </c>
      <c r="P881" s="7" t="s">
        <v>45</v>
      </c>
      <c r="Q881" s="95" t="s">
        <v>46</v>
      </c>
      <c r="R881" s="7" t="s">
        <v>45</v>
      </c>
    </row>
    <row r="882" spans="2:18" ht="30" x14ac:dyDescent="0.25">
      <c r="B882" s="2" t="s">
        <v>23</v>
      </c>
      <c r="C882" s="30" t="s">
        <v>70</v>
      </c>
      <c r="D882" s="97">
        <v>49</v>
      </c>
      <c r="E882" s="95" t="s">
        <v>43</v>
      </c>
      <c r="F882" s="43">
        <v>0.12</v>
      </c>
      <c r="G882" s="7" t="s">
        <v>108</v>
      </c>
      <c r="H882" s="51">
        <v>3.15</v>
      </c>
      <c r="I882" s="51">
        <f>+IF(F882=0%,D882*H882,0)</f>
        <v>0</v>
      </c>
      <c r="J882" s="51">
        <f>+IF(F882=12%,D882*H882,0)</f>
        <v>154.35</v>
      </c>
      <c r="K882" s="52">
        <v>0</v>
      </c>
      <c r="L882" s="53">
        <v>0</v>
      </c>
      <c r="M882" s="53">
        <f>+J882*K882</f>
        <v>0</v>
      </c>
      <c r="N882" s="53">
        <f>+(J882-M882)*F882</f>
        <v>18.521999999999998</v>
      </c>
      <c r="O882" s="53">
        <f>+J882-M882+N882</f>
        <v>172.87199999999999</v>
      </c>
      <c r="P882" s="7" t="s">
        <v>45</v>
      </c>
      <c r="Q882" s="95" t="s">
        <v>46</v>
      </c>
      <c r="R882" s="7" t="s">
        <v>45</v>
      </c>
    </row>
    <row r="883" spans="2:18" x14ac:dyDescent="0.25">
      <c r="B883" s="2" t="s">
        <v>26</v>
      </c>
      <c r="C883" s="12" t="s">
        <v>71</v>
      </c>
      <c r="D883" s="97">
        <v>12.2</v>
      </c>
      <c r="E883" s="95" t="s">
        <v>44</v>
      </c>
      <c r="F883" s="43">
        <v>0.12</v>
      </c>
      <c r="G883" s="7" t="s">
        <v>110</v>
      </c>
      <c r="H883" s="51">
        <v>1.25</v>
      </c>
      <c r="I883" s="51">
        <f>+IF(F883=0%,D883*H883,0)</f>
        <v>0</v>
      </c>
      <c r="J883" s="51">
        <f>+IF(F883=12%,D883*H883,0)</f>
        <v>15.25</v>
      </c>
      <c r="K883" s="52">
        <v>0</v>
      </c>
      <c r="L883" s="53">
        <v>0</v>
      </c>
      <c r="M883" s="53">
        <f>+J883*K883</f>
        <v>0</v>
      </c>
      <c r="N883" s="53">
        <f>+(J883-M883)*F883</f>
        <v>1.8299999999999998</v>
      </c>
      <c r="O883" s="53">
        <f>+J883-M883+N883</f>
        <v>17.079999999999998</v>
      </c>
      <c r="P883" s="7" t="s">
        <v>45</v>
      </c>
      <c r="Q883" s="95" t="s">
        <v>46</v>
      </c>
      <c r="R883" s="7" t="s">
        <v>45</v>
      </c>
    </row>
    <row r="884" spans="2:18" x14ac:dyDescent="0.25">
      <c r="B884" s="2" t="s">
        <v>27</v>
      </c>
      <c r="C884" s="3" t="s">
        <v>28</v>
      </c>
      <c r="D884" s="95">
        <v>1</v>
      </c>
      <c r="E884" t="s">
        <v>429</v>
      </c>
      <c r="F884" s="43">
        <v>0.12</v>
      </c>
      <c r="G884" t="s">
        <v>380</v>
      </c>
      <c r="H884" s="10">
        <v>250</v>
      </c>
      <c r="I884" s="10">
        <f>+IF(F884=0%,D884*H884,0)</f>
        <v>0</v>
      </c>
      <c r="J884" s="10">
        <f>+IF(F884=12%,D884*H884,0)</f>
        <v>250</v>
      </c>
      <c r="K884" s="52">
        <v>0</v>
      </c>
      <c r="L884" s="53">
        <v>0</v>
      </c>
      <c r="M884" s="53">
        <f>+J884*K884</f>
        <v>0</v>
      </c>
      <c r="N884" s="53">
        <f>+(J884-M884)*F884</f>
        <v>30</v>
      </c>
      <c r="O884" s="53">
        <f>+J884-M884+N884</f>
        <v>280</v>
      </c>
      <c r="P884" s="35" t="s">
        <v>275</v>
      </c>
      <c r="Q884" s="95" t="s">
        <v>274</v>
      </c>
      <c r="R884" s="7" t="s">
        <v>25</v>
      </c>
    </row>
    <row r="885" spans="2:18" ht="15.75" thickBot="1" x14ac:dyDescent="0.3">
      <c r="B885" s="2" t="s">
        <v>29</v>
      </c>
      <c r="C885" s="3">
        <v>1</v>
      </c>
      <c r="D885" s="97"/>
      <c r="E885" s="95"/>
      <c r="F885" s="95"/>
      <c r="G885" s="95"/>
      <c r="H885" s="10"/>
      <c r="I885" s="10"/>
      <c r="J885" s="10"/>
      <c r="K885" s="10"/>
      <c r="L885" s="95"/>
      <c r="M885" s="10"/>
      <c r="N885" s="10"/>
      <c r="O885" s="11"/>
      <c r="P885" s="95"/>
      <c r="Q885" s="95"/>
      <c r="R885" s="7"/>
    </row>
    <row r="886" spans="2:18" ht="15.75" thickBot="1" x14ac:dyDescent="0.3">
      <c r="B886" s="2" t="s">
        <v>30</v>
      </c>
      <c r="C886" s="7">
        <v>1120335551</v>
      </c>
      <c r="D886" s="16" t="s">
        <v>34</v>
      </c>
      <c r="E886" s="40">
        <f>+SUM(I880:I883)</f>
        <v>0</v>
      </c>
    </row>
    <row r="887" spans="2:18" ht="15.75" thickBot="1" x14ac:dyDescent="0.3">
      <c r="B887" s="2" t="s">
        <v>31</v>
      </c>
      <c r="C887" s="14">
        <v>43510</v>
      </c>
      <c r="D887" s="16" t="s">
        <v>36</v>
      </c>
      <c r="E887" s="17">
        <f>+SUM(J880:J885)</f>
        <v>674.4316</v>
      </c>
    </row>
    <row r="888" spans="2:18" ht="15.75" thickBot="1" x14ac:dyDescent="0.3">
      <c r="B888" s="2" t="s">
        <v>32</v>
      </c>
      <c r="C888" s="15" t="s">
        <v>33</v>
      </c>
      <c r="D888" s="16" t="s">
        <v>39</v>
      </c>
      <c r="E888" s="17">
        <f>SUM(M880:M885)</f>
        <v>0</v>
      </c>
    </row>
    <row r="889" spans="2:18" ht="15.75" thickBot="1" x14ac:dyDescent="0.3">
      <c r="B889" s="2" t="s">
        <v>35</v>
      </c>
      <c r="C889" s="15" t="s">
        <v>33</v>
      </c>
      <c r="D889" s="16" t="s">
        <v>14</v>
      </c>
      <c r="E889" s="17">
        <f>SUM(N880:N885)</f>
        <v>80.931792000000002</v>
      </c>
    </row>
    <row r="890" spans="2:18" ht="15.75" thickBot="1" x14ac:dyDescent="0.3">
      <c r="B890" s="2" t="s">
        <v>37</v>
      </c>
      <c r="C890" s="15" t="s">
        <v>365</v>
      </c>
      <c r="D890" s="16" t="s">
        <v>15</v>
      </c>
      <c r="E890" s="17">
        <f>SUM(O880:O885)</f>
        <v>755.36339199999998</v>
      </c>
    </row>
    <row r="891" spans="2:18" x14ac:dyDescent="0.25">
      <c r="B891" s="18"/>
      <c r="C891" s="18"/>
    </row>
    <row r="893" spans="2:18" x14ac:dyDescent="0.25">
      <c r="B893" s="114" t="s">
        <v>457</v>
      </c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</row>
    <row r="894" spans="2:18" x14ac:dyDescent="0.25">
      <c r="B894" s="2" t="s">
        <v>86</v>
      </c>
      <c r="C894" s="21" t="s">
        <v>87</v>
      </c>
    </row>
    <row r="895" spans="2:18" x14ac:dyDescent="0.25">
      <c r="B895" s="2" t="s">
        <v>59</v>
      </c>
      <c r="C895" s="21" t="s">
        <v>90</v>
      </c>
    </row>
    <row r="896" spans="2:18" x14ac:dyDescent="0.25">
      <c r="B896" s="2" t="s">
        <v>60</v>
      </c>
      <c r="C896" s="21" t="s">
        <v>91</v>
      </c>
      <c r="E896" s="31" t="s">
        <v>279</v>
      </c>
    </row>
    <row r="897" spans="1:18" x14ac:dyDescent="0.25">
      <c r="B897" s="2" t="s">
        <v>61</v>
      </c>
      <c r="C897" s="27">
        <f>+E890</f>
        <v>755.36339199999998</v>
      </c>
      <c r="E897" s="110" t="s">
        <v>330</v>
      </c>
    </row>
    <row r="900" spans="1:18" ht="26.25" x14ac:dyDescent="0.4">
      <c r="A900" s="34" t="s">
        <v>268</v>
      </c>
      <c r="B900" s="34" t="s">
        <v>140</v>
      </c>
      <c r="C900" s="1" t="s">
        <v>439</v>
      </c>
    </row>
    <row r="901" spans="1:18" x14ac:dyDescent="0.25">
      <c r="B901" s="112" t="s">
        <v>398</v>
      </c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</row>
    <row r="902" spans="1:18" x14ac:dyDescent="0.25">
      <c r="B902" s="2" t="s">
        <v>6</v>
      </c>
      <c r="C902" s="3" t="s">
        <v>67</v>
      </c>
      <c r="D902" s="100" t="s">
        <v>8</v>
      </c>
      <c r="E902" s="5" t="s">
        <v>9</v>
      </c>
      <c r="F902" s="5" t="s">
        <v>14</v>
      </c>
      <c r="G902" s="5" t="s">
        <v>10</v>
      </c>
      <c r="H902" s="5" t="s">
        <v>11</v>
      </c>
      <c r="I902" s="5" t="s">
        <v>148</v>
      </c>
      <c r="J902" s="5" t="s">
        <v>149</v>
      </c>
      <c r="K902" s="5" t="s">
        <v>12</v>
      </c>
      <c r="L902" s="5" t="s">
        <v>13</v>
      </c>
      <c r="M902" s="5" t="s">
        <v>40</v>
      </c>
      <c r="N902" s="5" t="s">
        <v>14</v>
      </c>
      <c r="O902" s="5" t="s">
        <v>15</v>
      </c>
      <c r="P902" s="5" t="s">
        <v>16</v>
      </c>
      <c r="Q902" s="5" t="s">
        <v>17</v>
      </c>
      <c r="R902" s="5" t="s">
        <v>18</v>
      </c>
    </row>
    <row r="903" spans="1:18" x14ac:dyDescent="0.25">
      <c r="B903" s="2" t="s">
        <v>19</v>
      </c>
      <c r="C903" s="15" t="s">
        <v>68</v>
      </c>
      <c r="D903" s="7">
        <v>118.47</v>
      </c>
      <c r="E903" s="95" t="s">
        <v>95</v>
      </c>
      <c r="F903" s="43">
        <v>0.12</v>
      </c>
      <c r="G903" s="35" t="s">
        <v>99</v>
      </c>
      <c r="H903" s="51">
        <v>1.47</v>
      </c>
      <c r="I903" s="51">
        <f>+IF(F903=0%,D903*H903,0)</f>
        <v>0</v>
      </c>
      <c r="J903" s="51">
        <f>+IF(F903=12%,D903*H903,0)</f>
        <v>174.15090000000001</v>
      </c>
      <c r="K903" s="52">
        <v>0</v>
      </c>
      <c r="L903" s="53">
        <v>0</v>
      </c>
      <c r="M903" s="53">
        <f>+J903*K903</f>
        <v>0</v>
      </c>
      <c r="N903" s="53">
        <f>+(J903-M903)*F903</f>
        <v>20.898108000000001</v>
      </c>
      <c r="O903" s="53">
        <f>+J903-M903+N903</f>
        <v>195.04900800000001</v>
      </c>
      <c r="P903" s="7" t="s">
        <v>45</v>
      </c>
      <c r="Q903" s="7" t="s">
        <v>46</v>
      </c>
      <c r="R903" s="7" t="s">
        <v>45</v>
      </c>
    </row>
    <row r="904" spans="1:18" x14ac:dyDescent="0.25">
      <c r="B904" s="2" t="s">
        <v>21</v>
      </c>
      <c r="C904" s="15" t="s">
        <v>22</v>
      </c>
      <c r="D904" s="7">
        <v>249.58</v>
      </c>
      <c r="E904" s="95" t="s">
        <v>96</v>
      </c>
      <c r="F904" s="43">
        <v>0.12</v>
      </c>
      <c r="G904" s="35" t="s">
        <v>100</v>
      </c>
      <c r="H904" s="51">
        <v>2.96</v>
      </c>
      <c r="I904" s="51">
        <f>+IF(F904=0%,D904*H904,0)</f>
        <v>0</v>
      </c>
      <c r="J904" s="51">
        <f>+IF(F904=12%,D904*H904,0)</f>
        <v>738.7568</v>
      </c>
      <c r="K904" s="52">
        <v>0</v>
      </c>
      <c r="L904" s="53">
        <v>0</v>
      </c>
      <c r="M904" s="53">
        <f>+J904*K904</f>
        <v>0</v>
      </c>
      <c r="N904" s="53">
        <f>+(J904-M904)*F904</f>
        <v>88.650815999999992</v>
      </c>
      <c r="O904" s="53">
        <f>+J904-M904+N904</f>
        <v>827.40761599999996</v>
      </c>
      <c r="P904" s="7" t="s">
        <v>45</v>
      </c>
      <c r="Q904" s="95" t="s">
        <v>46</v>
      </c>
      <c r="R904" s="7" t="s">
        <v>45</v>
      </c>
    </row>
    <row r="905" spans="1:18" ht="30" x14ac:dyDescent="0.25">
      <c r="B905" s="2" t="s">
        <v>23</v>
      </c>
      <c r="C905" s="30" t="s">
        <v>70</v>
      </c>
      <c r="D905" s="7">
        <v>73.540000000000006</v>
      </c>
      <c r="E905" s="95" t="s">
        <v>97</v>
      </c>
      <c r="F905" s="43">
        <v>0.12</v>
      </c>
      <c r="G905" s="35" t="s">
        <v>101</v>
      </c>
      <c r="H905" s="51">
        <v>3.15</v>
      </c>
      <c r="I905" s="51">
        <f>+IF(F905=0%,D905*H905,0)</f>
        <v>0</v>
      </c>
      <c r="J905" s="51">
        <f>+IF(F905=12%,D905*H905,0)</f>
        <v>231.65100000000001</v>
      </c>
      <c r="K905" s="52">
        <v>0</v>
      </c>
      <c r="L905" s="53">
        <v>0</v>
      </c>
      <c r="M905" s="53">
        <f>+J905*K905</f>
        <v>0</v>
      </c>
      <c r="N905" s="53">
        <f>+(J905-M905)*F905</f>
        <v>27.798120000000001</v>
      </c>
      <c r="O905" s="53">
        <f>+J905-M905+N905</f>
        <v>259.44911999999999</v>
      </c>
      <c r="P905" s="7" t="s">
        <v>45</v>
      </c>
      <c r="Q905" s="95" t="s">
        <v>46</v>
      </c>
      <c r="R905" s="7" t="s">
        <v>45</v>
      </c>
    </row>
    <row r="906" spans="1:18" x14ac:dyDescent="0.25">
      <c r="B906" s="2" t="s">
        <v>26</v>
      </c>
      <c r="C906" s="12" t="s">
        <v>71</v>
      </c>
      <c r="D906" s="7">
        <v>29</v>
      </c>
      <c r="E906" s="95" t="s">
        <v>98</v>
      </c>
      <c r="F906" s="43">
        <v>0.12</v>
      </c>
      <c r="G906" s="35" t="s">
        <v>102</v>
      </c>
      <c r="H906" s="51">
        <v>1.25</v>
      </c>
      <c r="I906" s="51">
        <f>+IF(F906=0%,D906*H906,0)</f>
        <v>0</v>
      </c>
      <c r="J906" s="51">
        <f>+IF(F906=12%,D906*H906,0)</f>
        <v>36.25</v>
      </c>
      <c r="K906" s="52">
        <v>0</v>
      </c>
      <c r="L906" s="53">
        <v>0</v>
      </c>
      <c r="M906" s="53">
        <f>+J906*K906</f>
        <v>0</v>
      </c>
      <c r="N906" s="53">
        <f>+(J906-M906)*F906</f>
        <v>4.3499999999999996</v>
      </c>
      <c r="O906" s="53">
        <f>+J906-M906+N906</f>
        <v>40.6</v>
      </c>
      <c r="P906" s="7" t="s">
        <v>45</v>
      </c>
      <c r="Q906" s="95" t="s">
        <v>46</v>
      </c>
      <c r="R906" s="7" t="s">
        <v>45</v>
      </c>
    </row>
    <row r="907" spans="1:18" x14ac:dyDescent="0.25">
      <c r="B907" s="2" t="s">
        <v>27</v>
      </c>
      <c r="C907" s="3" t="s">
        <v>28</v>
      </c>
      <c r="D907" s="97">
        <v>1</v>
      </c>
      <c r="E907" t="s">
        <v>433</v>
      </c>
      <c r="F907" s="43">
        <v>0.12</v>
      </c>
      <c r="G907" t="s">
        <v>381</v>
      </c>
      <c r="H907" s="51">
        <v>380</v>
      </c>
      <c r="I907" s="51">
        <f>+IF(F907=0%,D907*H907,0)</f>
        <v>0</v>
      </c>
      <c r="J907" s="51">
        <f>+IF(F907=12%,D907*H907,0)</f>
        <v>380</v>
      </c>
      <c r="K907" s="52">
        <v>0</v>
      </c>
      <c r="L907" s="53">
        <v>0</v>
      </c>
      <c r="M907" s="53">
        <f>+J907*K907</f>
        <v>0</v>
      </c>
      <c r="N907" s="53">
        <f>+(J907-M907)*F907</f>
        <v>45.6</v>
      </c>
      <c r="O907" s="53">
        <f>+J907-M907+N907</f>
        <v>425.6</v>
      </c>
      <c r="P907" s="7" t="s">
        <v>276</v>
      </c>
      <c r="Q907" s="7" t="s">
        <v>277</v>
      </c>
      <c r="R907" s="7" t="s">
        <v>25</v>
      </c>
    </row>
    <row r="908" spans="1:18" ht="15.75" thickBot="1" x14ac:dyDescent="0.3">
      <c r="B908" s="2" t="s">
        <v>29</v>
      </c>
      <c r="C908" s="3">
        <v>1</v>
      </c>
      <c r="D908" s="97"/>
      <c r="E908" s="95"/>
      <c r="F908" s="95"/>
      <c r="G908" s="95"/>
      <c r="H908" s="10"/>
      <c r="I908" s="10"/>
      <c r="J908" s="10"/>
      <c r="K908" s="10"/>
      <c r="L908" s="95"/>
      <c r="M908" s="10"/>
      <c r="N908" s="10"/>
      <c r="O908" s="11"/>
      <c r="P908" s="95"/>
      <c r="Q908" s="95"/>
      <c r="R908" s="7"/>
    </row>
    <row r="909" spans="1:18" ht="15.75" thickBot="1" x14ac:dyDescent="0.3">
      <c r="B909" s="2" t="s">
        <v>30</v>
      </c>
      <c r="C909" s="7">
        <v>1122728319</v>
      </c>
      <c r="D909" s="16" t="s">
        <v>34</v>
      </c>
      <c r="E909" s="40">
        <f>+SUM(I903:I906)</f>
        <v>0</v>
      </c>
    </row>
    <row r="910" spans="1:18" ht="15.75" thickBot="1" x14ac:dyDescent="0.3">
      <c r="B910" s="2" t="s">
        <v>31</v>
      </c>
      <c r="C910" s="14">
        <v>43510</v>
      </c>
      <c r="D910" s="16" t="s">
        <v>36</v>
      </c>
      <c r="E910" s="17">
        <f>+SUM(J903:J908)</f>
        <v>1560.8087</v>
      </c>
    </row>
    <row r="911" spans="1:18" ht="15.75" thickBot="1" x14ac:dyDescent="0.3">
      <c r="B911" s="2" t="s">
        <v>32</v>
      </c>
      <c r="C911" s="15" t="s">
        <v>33</v>
      </c>
      <c r="D911" s="16" t="s">
        <v>39</v>
      </c>
      <c r="E911" s="17">
        <f>SUM(M903:M908)</f>
        <v>0</v>
      </c>
    </row>
    <row r="912" spans="1:18" ht="15.75" thickBot="1" x14ac:dyDescent="0.3">
      <c r="B912" s="2" t="s">
        <v>35</v>
      </c>
      <c r="C912" s="15" t="s">
        <v>33</v>
      </c>
      <c r="D912" s="16" t="s">
        <v>14</v>
      </c>
      <c r="E912" s="17">
        <f>SUM(N903:N908)</f>
        <v>187.297044</v>
      </c>
    </row>
    <row r="913" spans="1:18" ht="15.75" thickBot="1" x14ac:dyDescent="0.3">
      <c r="B913" s="2" t="s">
        <v>37</v>
      </c>
      <c r="C913" s="15" t="s">
        <v>366</v>
      </c>
      <c r="D913" s="16" t="s">
        <v>15</v>
      </c>
      <c r="E913" s="17">
        <f>SUM(O903:O908)</f>
        <v>1748.105744</v>
      </c>
    </row>
    <row r="914" spans="1:18" x14ac:dyDescent="0.25">
      <c r="B914" s="18"/>
      <c r="C914" s="18"/>
    </row>
    <row r="915" spans="1:18" x14ac:dyDescent="0.25">
      <c r="B915" s="18"/>
      <c r="C915" s="18"/>
    </row>
    <row r="916" spans="1:18" x14ac:dyDescent="0.25">
      <c r="B916" s="114" t="s">
        <v>457</v>
      </c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</row>
    <row r="917" spans="1:18" x14ac:dyDescent="0.25">
      <c r="B917" s="2" t="s">
        <v>86</v>
      </c>
      <c r="C917" s="21" t="s">
        <v>143</v>
      </c>
    </row>
    <row r="918" spans="1:18" x14ac:dyDescent="0.25">
      <c r="B918" s="2" t="s">
        <v>58</v>
      </c>
      <c r="C918" s="21" t="s">
        <v>144</v>
      </c>
    </row>
    <row r="919" spans="1:18" x14ac:dyDescent="0.25">
      <c r="B919" s="2" t="s">
        <v>60</v>
      </c>
      <c r="C919" s="21" t="s">
        <v>74</v>
      </c>
      <c r="E919" s="31" t="s">
        <v>279</v>
      </c>
    </row>
    <row r="920" spans="1:18" x14ac:dyDescent="0.25">
      <c r="B920" s="2" t="s">
        <v>61</v>
      </c>
      <c r="C920" s="27">
        <f>+E913</f>
        <v>1748.105744</v>
      </c>
      <c r="E920" s="110" t="s">
        <v>330</v>
      </c>
    </row>
    <row r="923" spans="1:18" ht="26.25" x14ac:dyDescent="0.4">
      <c r="A923" s="34" t="s">
        <v>268</v>
      </c>
      <c r="B923" s="34" t="s">
        <v>142</v>
      </c>
      <c r="C923" s="1" t="s">
        <v>440</v>
      </c>
    </row>
    <row r="924" spans="1:18" x14ac:dyDescent="0.25">
      <c r="B924" s="112" t="s">
        <v>398</v>
      </c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</row>
    <row r="925" spans="1:18" x14ac:dyDescent="0.25">
      <c r="B925" s="2" t="s">
        <v>6</v>
      </c>
      <c r="C925" s="3" t="s">
        <v>67</v>
      </c>
      <c r="D925" s="100" t="s">
        <v>8</v>
      </c>
      <c r="E925" s="5" t="s">
        <v>9</v>
      </c>
      <c r="F925" s="5" t="s">
        <v>14</v>
      </c>
      <c r="G925" s="5" t="s">
        <v>10</v>
      </c>
      <c r="H925" s="5" t="s">
        <v>11</v>
      </c>
      <c r="I925" s="5" t="s">
        <v>148</v>
      </c>
      <c r="J925" s="5" t="s">
        <v>149</v>
      </c>
      <c r="K925" s="5" t="s">
        <v>12</v>
      </c>
      <c r="L925" s="5" t="s">
        <v>13</v>
      </c>
      <c r="M925" s="5" t="s">
        <v>40</v>
      </c>
      <c r="N925" s="5" t="s">
        <v>14</v>
      </c>
      <c r="O925" s="5" t="s">
        <v>15</v>
      </c>
      <c r="P925" s="5" t="s">
        <v>16</v>
      </c>
      <c r="Q925" s="5" t="s">
        <v>17</v>
      </c>
      <c r="R925" s="5" t="s">
        <v>18</v>
      </c>
    </row>
    <row r="926" spans="1:18" x14ac:dyDescent="0.25">
      <c r="B926" s="2" t="s">
        <v>19</v>
      </c>
      <c r="C926" s="15" t="s">
        <v>68</v>
      </c>
      <c r="D926" s="7">
        <v>118.47</v>
      </c>
      <c r="E926" s="95" t="s">
        <v>95</v>
      </c>
      <c r="F926" s="43">
        <v>0.12</v>
      </c>
      <c r="G926" s="35" t="s">
        <v>99</v>
      </c>
      <c r="H926" s="51">
        <v>1.47</v>
      </c>
      <c r="I926" s="51">
        <f>+IF(F926=0%,D926*H926,0)</f>
        <v>0</v>
      </c>
      <c r="J926" s="51">
        <f>+IF(F926=12%,D926*H926,0)</f>
        <v>174.15090000000001</v>
      </c>
      <c r="K926" s="52">
        <v>0</v>
      </c>
      <c r="L926" s="53">
        <v>0</v>
      </c>
      <c r="M926" s="53">
        <f>+J926*K926</f>
        <v>0</v>
      </c>
      <c r="N926" s="53">
        <f>+(J926-M926)*F926</f>
        <v>20.898108000000001</v>
      </c>
      <c r="O926" s="53">
        <f>+J926-M926+N926</f>
        <v>195.04900800000001</v>
      </c>
      <c r="P926" s="7" t="s">
        <v>45</v>
      </c>
      <c r="Q926" s="7" t="s">
        <v>46</v>
      </c>
      <c r="R926" s="7" t="s">
        <v>45</v>
      </c>
    </row>
    <row r="927" spans="1:18" x14ac:dyDescent="0.25">
      <c r="B927" s="2" t="s">
        <v>21</v>
      </c>
      <c r="C927" s="15" t="s">
        <v>22</v>
      </c>
      <c r="D927" s="7">
        <v>249.58</v>
      </c>
      <c r="E927" s="95" t="s">
        <v>96</v>
      </c>
      <c r="F927" s="43">
        <v>0.12</v>
      </c>
      <c r="G927" s="35" t="s">
        <v>100</v>
      </c>
      <c r="H927" s="51">
        <v>2.96</v>
      </c>
      <c r="I927" s="51">
        <f>+IF(F927=0%,D927*H927,0)</f>
        <v>0</v>
      </c>
      <c r="J927" s="51">
        <f>+IF(F927=12%,D927*H927,0)</f>
        <v>738.7568</v>
      </c>
      <c r="K927" s="52">
        <v>0</v>
      </c>
      <c r="L927" s="53">
        <v>0</v>
      </c>
      <c r="M927" s="53">
        <f>+J927*K927</f>
        <v>0</v>
      </c>
      <c r="N927" s="53">
        <f>+(J927-M927)*F927</f>
        <v>88.650815999999992</v>
      </c>
      <c r="O927" s="53">
        <f>+J927-M927+N927</f>
        <v>827.40761599999996</v>
      </c>
      <c r="P927" s="7" t="s">
        <v>45</v>
      </c>
      <c r="Q927" s="95" t="s">
        <v>46</v>
      </c>
      <c r="R927" s="7" t="s">
        <v>45</v>
      </c>
    </row>
    <row r="928" spans="1:18" ht="30" x14ac:dyDescent="0.25">
      <c r="B928" s="2" t="s">
        <v>23</v>
      </c>
      <c r="C928" s="30" t="s">
        <v>70</v>
      </c>
      <c r="D928" s="7">
        <v>73.540000000000006</v>
      </c>
      <c r="E928" s="95" t="s">
        <v>97</v>
      </c>
      <c r="F928" s="43">
        <v>0.12</v>
      </c>
      <c r="G928" s="35" t="s">
        <v>101</v>
      </c>
      <c r="H928" s="51">
        <v>3.15</v>
      </c>
      <c r="I928" s="51">
        <f>+IF(F928=0%,D928*H928,0)</f>
        <v>0</v>
      </c>
      <c r="J928" s="51">
        <f>+IF(F928=12%,D928*H928,0)</f>
        <v>231.65100000000001</v>
      </c>
      <c r="K928" s="52">
        <v>0</v>
      </c>
      <c r="L928" s="53">
        <v>0</v>
      </c>
      <c r="M928" s="53">
        <f>+J928*K928</f>
        <v>0</v>
      </c>
      <c r="N928" s="53">
        <f>+(J928-M928)*F928</f>
        <v>27.798120000000001</v>
      </c>
      <c r="O928" s="53">
        <f>+J928-M928+N928</f>
        <v>259.44911999999999</v>
      </c>
      <c r="P928" s="7" t="s">
        <v>45</v>
      </c>
      <c r="Q928" s="95" t="s">
        <v>46</v>
      </c>
      <c r="R928" s="7" t="s">
        <v>45</v>
      </c>
    </row>
    <row r="929" spans="2:18" x14ac:dyDescent="0.25">
      <c r="B929" s="2" t="s">
        <v>26</v>
      </c>
      <c r="C929" s="12" t="s">
        <v>71</v>
      </c>
      <c r="D929" s="7">
        <v>29</v>
      </c>
      <c r="E929" s="95" t="s">
        <v>98</v>
      </c>
      <c r="F929" s="43">
        <v>0.12</v>
      </c>
      <c r="G929" s="35" t="s">
        <v>102</v>
      </c>
      <c r="H929" s="51">
        <v>1.25</v>
      </c>
      <c r="I929" s="51">
        <f>+IF(F929=0%,D929*H929,0)</f>
        <v>0</v>
      </c>
      <c r="J929" s="51">
        <f>+IF(F929=12%,D929*H929,0)</f>
        <v>36.25</v>
      </c>
      <c r="K929" s="52">
        <v>0</v>
      </c>
      <c r="L929" s="53">
        <v>0</v>
      </c>
      <c r="M929" s="53">
        <f>+J929*K929</f>
        <v>0</v>
      </c>
      <c r="N929" s="53">
        <f>+(J929-M929)*F929</f>
        <v>4.3499999999999996</v>
      </c>
      <c r="O929" s="53">
        <f>+J929-M929+N929</f>
        <v>40.6</v>
      </c>
      <c r="P929" s="7" t="s">
        <v>45</v>
      </c>
      <c r="Q929" s="95" t="s">
        <v>46</v>
      </c>
      <c r="R929" s="7" t="s">
        <v>45</v>
      </c>
    </row>
    <row r="930" spans="2:18" x14ac:dyDescent="0.25">
      <c r="B930" s="2" t="s">
        <v>27</v>
      </c>
      <c r="C930" s="3" t="s">
        <v>28</v>
      </c>
      <c r="D930" s="97">
        <v>1</v>
      </c>
      <c r="E930" t="s">
        <v>433</v>
      </c>
      <c r="F930" s="43">
        <v>0.12</v>
      </c>
      <c r="G930" t="s">
        <v>382</v>
      </c>
      <c r="H930" s="51">
        <v>380</v>
      </c>
      <c r="I930" s="51">
        <f>+IF(F930=0%,D930*H930,0)</f>
        <v>0</v>
      </c>
      <c r="J930" s="51">
        <f>+IF(F930=12%,D930*H930,0)</f>
        <v>380</v>
      </c>
      <c r="K930" s="52">
        <v>0</v>
      </c>
      <c r="L930" s="53">
        <v>0</v>
      </c>
      <c r="M930" s="53">
        <f>+J930*K930</f>
        <v>0</v>
      </c>
      <c r="N930" s="53">
        <f>+(J930-M930)*F930</f>
        <v>45.6</v>
      </c>
      <c r="O930" s="53">
        <f>+J930-M930+N930</f>
        <v>425.6</v>
      </c>
      <c r="P930" s="7" t="s">
        <v>276</v>
      </c>
      <c r="Q930" s="7" t="s">
        <v>277</v>
      </c>
      <c r="R930" s="7" t="s">
        <v>25</v>
      </c>
    </row>
    <row r="931" spans="2:18" ht="15.75" thickBot="1" x14ac:dyDescent="0.3">
      <c r="B931" s="2" t="s">
        <v>29</v>
      </c>
      <c r="C931" s="3">
        <v>1</v>
      </c>
      <c r="D931" s="97"/>
      <c r="E931" s="95"/>
      <c r="F931" s="95"/>
      <c r="G931" s="95"/>
      <c r="H931" s="10"/>
      <c r="I931" s="10"/>
      <c r="J931" s="10"/>
      <c r="K931" s="10"/>
      <c r="L931" s="95"/>
      <c r="M931" s="10"/>
      <c r="N931" s="10"/>
      <c r="O931" s="11"/>
      <c r="P931" s="95"/>
      <c r="Q931" s="95"/>
      <c r="R931" s="7"/>
    </row>
    <row r="932" spans="2:18" ht="15.75" thickBot="1" x14ac:dyDescent="0.3">
      <c r="B932" s="2" t="s">
        <v>30</v>
      </c>
      <c r="C932" s="7">
        <v>1122728319</v>
      </c>
      <c r="D932" s="16" t="s">
        <v>34</v>
      </c>
      <c r="E932" s="40">
        <f>+SUM(I926:I929)</f>
        <v>0</v>
      </c>
    </row>
    <row r="933" spans="2:18" ht="15.75" thickBot="1" x14ac:dyDescent="0.3">
      <c r="B933" s="2" t="s">
        <v>31</v>
      </c>
      <c r="C933" s="14">
        <v>43510</v>
      </c>
      <c r="D933" s="16" t="s">
        <v>36</v>
      </c>
      <c r="E933" s="17">
        <f>+SUM(J926:J931)</f>
        <v>1560.8087</v>
      </c>
    </row>
    <row r="934" spans="2:18" ht="15.75" thickBot="1" x14ac:dyDescent="0.3">
      <c r="B934" s="2" t="s">
        <v>32</v>
      </c>
      <c r="C934" s="15" t="s">
        <v>33</v>
      </c>
      <c r="D934" s="16" t="s">
        <v>39</v>
      </c>
      <c r="E934" s="17">
        <f>SUM(M926:M931)</f>
        <v>0</v>
      </c>
    </row>
    <row r="935" spans="2:18" ht="15.75" thickBot="1" x14ac:dyDescent="0.3">
      <c r="B935" s="2" t="s">
        <v>35</v>
      </c>
      <c r="C935" s="15" t="s">
        <v>33</v>
      </c>
      <c r="D935" s="16" t="s">
        <v>14</v>
      </c>
      <c r="E935" s="17">
        <f>SUM(N926:N931)</f>
        <v>187.297044</v>
      </c>
    </row>
    <row r="936" spans="2:18" ht="15.75" thickBot="1" x14ac:dyDescent="0.3">
      <c r="B936" s="2" t="s">
        <v>37</v>
      </c>
      <c r="C936" s="15" t="s">
        <v>367</v>
      </c>
      <c r="D936" s="16" t="s">
        <v>15</v>
      </c>
      <c r="E936" s="17">
        <f>SUM(O926:O931)</f>
        <v>1748.105744</v>
      </c>
    </row>
    <row r="937" spans="2:18" x14ac:dyDescent="0.25">
      <c r="B937" s="18"/>
      <c r="C937" s="18"/>
    </row>
    <row r="939" spans="2:18" x14ac:dyDescent="0.25">
      <c r="B939" s="114" t="s">
        <v>457</v>
      </c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</row>
    <row r="940" spans="2:18" x14ac:dyDescent="0.25">
      <c r="B940" s="2" t="s">
        <v>86</v>
      </c>
      <c r="C940" s="21" t="s">
        <v>143</v>
      </c>
    </row>
    <row r="941" spans="2:18" x14ac:dyDescent="0.25">
      <c r="B941" s="2" t="s">
        <v>58</v>
      </c>
      <c r="C941" s="21" t="s">
        <v>73</v>
      </c>
    </row>
    <row r="942" spans="2:18" x14ac:dyDescent="0.25">
      <c r="B942" s="2" t="s">
        <v>60</v>
      </c>
      <c r="C942" s="21" t="s">
        <v>74</v>
      </c>
      <c r="D942" s="95" t="s">
        <v>154</v>
      </c>
      <c r="E942" s="31" t="s">
        <v>279</v>
      </c>
    </row>
    <row r="943" spans="2:18" x14ac:dyDescent="0.25">
      <c r="B943" s="2" t="s">
        <v>61</v>
      </c>
      <c r="C943" s="27">
        <f>+E936*D943</f>
        <v>524.43172319999996</v>
      </c>
      <c r="D943" s="43">
        <v>0.3</v>
      </c>
      <c r="E943" s="110" t="s">
        <v>330</v>
      </c>
    </row>
    <row r="944" spans="2:18" x14ac:dyDescent="0.25">
      <c r="B944" s="2" t="s">
        <v>60</v>
      </c>
      <c r="C944" s="21" t="s">
        <v>75</v>
      </c>
      <c r="D944" s="95" t="s">
        <v>154</v>
      </c>
    </row>
    <row r="945" spans="1:18" x14ac:dyDescent="0.25">
      <c r="B945" s="2" t="s">
        <v>61</v>
      </c>
      <c r="C945" s="27">
        <f>+E936*D945</f>
        <v>524.43172319999996</v>
      </c>
      <c r="D945" s="43">
        <v>0.3</v>
      </c>
      <c r="E945" s="28"/>
      <c r="F945" s="28"/>
      <c r="H945" s="23"/>
      <c r="I945" s="23"/>
      <c r="J945" s="24"/>
      <c r="K945" s="24"/>
      <c r="L945" s="25"/>
      <c r="M945" s="26"/>
      <c r="N945" s="22"/>
      <c r="O945" s="22"/>
    </row>
    <row r="946" spans="1:18" x14ac:dyDescent="0.25">
      <c r="B946" s="2" t="s">
        <v>58</v>
      </c>
      <c r="C946" s="21" t="s">
        <v>76</v>
      </c>
      <c r="D946" s="95"/>
    </row>
    <row r="947" spans="1:18" x14ac:dyDescent="0.25">
      <c r="B947" s="2" t="s">
        <v>60</v>
      </c>
      <c r="C947" s="21" t="s">
        <v>89</v>
      </c>
      <c r="D947" s="95" t="s">
        <v>154</v>
      </c>
    </row>
    <row r="948" spans="1:18" x14ac:dyDescent="0.25">
      <c r="B948" s="2" t="s">
        <v>61</v>
      </c>
      <c r="C948" s="27">
        <f>+E936*D948</f>
        <v>699.24229760000003</v>
      </c>
      <c r="D948" s="43">
        <v>0.4</v>
      </c>
    </row>
    <row r="949" spans="1:18" x14ac:dyDescent="0.25">
      <c r="C949" s="36"/>
    </row>
    <row r="950" spans="1:18" x14ac:dyDescent="0.25">
      <c r="C950" s="36"/>
    </row>
    <row r="951" spans="1:18" ht="26.25" x14ac:dyDescent="0.4">
      <c r="A951" s="34" t="s">
        <v>268</v>
      </c>
      <c r="B951" s="34" t="s">
        <v>145</v>
      </c>
      <c r="C951" s="1" t="s">
        <v>441</v>
      </c>
    </row>
    <row r="952" spans="1:18" x14ac:dyDescent="0.25">
      <c r="B952" s="112" t="s">
        <v>398</v>
      </c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</row>
    <row r="953" spans="1:18" x14ac:dyDescent="0.25">
      <c r="B953" s="2" t="s">
        <v>6</v>
      </c>
      <c r="C953" s="3" t="s">
        <v>67</v>
      </c>
      <c r="D953" s="100" t="s">
        <v>8</v>
      </c>
      <c r="E953" s="5" t="s">
        <v>9</v>
      </c>
      <c r="F953" s="5" t="s">
        <v>14</v>
      </c>
      <c r="G953" s="5" t="s">
        <v>10</v>
      </c>
      <c r="H953" s="5" t="s">
        <v>11</v>
      </c>
      <c r="I953" s="5" t="s">
        <v>148</v>
      </c>
      <c r="J953" s="5" t="s">
        <v>149</v>
      </c>
      <c r="K953" s="5" t="s">
        <v>12</v>
      </c>
      <c r="L953" s="5" t="s">
        <v>13</v>
      </c>
      <c r="M953" s="5" t="s">
        <v>40</v>
      </c>
      <c r="N953" s="5" t="s">
        <v>14</v>
      </c>
      <c r="O953" s="5" t="s">
        <v>15</v>
      </c>
      <c r="P953" s="5" t="s">
        <v>16</v>
      </c>
      <c r="Q953" s="5" t="s">
        <v>17</v>
      </c>
      <c r="R953" s="5" t="s">
        <v>18</v>
      </c>
    </row>
    <row r="954" spans="1:18" x14ac:dyDescent="0.25">
      <c r="B954" s="2" t="s">
        <v>19</v>
      </c>
      <c r="C954" s="15" t="s">
        <v>68</v>
      </c>
      <c r="D954" s="7">
        <v>118.47</v>
      </c>
      <c r="E954" s="95" t="s">
        <v>95</v>
      </c>
      <c r="F954" s="43">
        <v>0.12</v>
      </c>
      <c r="G954" s="35" t="s">
        <v>99</v>
      </c>
      <c r="H954" s="51">
        <v>1.47</v>
      </c>
      <c r="I954" s="51">
        <f>+IF(F954=0%,D954*H954,0)</f>
        <v>0</v>
      </c>
      <c r="J954" s="51">
        <f>+IF(F954=12%,D954*H954,0)</f>
        <v>174.15090000000001</v>
      </c>
      <c r="K954" s="52">
        <v>0</v>
      </c>
      <c r="L954" s="53">
        <v>0</v>
      </c>
      <c r="M954" s="53">
        <f>+J954*K954</f>
        <v>0</v>
      </c>
      <c r="N954" s="53">
        <f>+(J954-M954)*F954</f>
        <v>20.898108000000001</v>
      </c>
      <c r="O954" s="53">
        <f>+J954-M954+N954</f>
        <v>195.04900800000001</v>
      </c>
      <c r="P954" s="7" t="s">
        <v>45</v>
      </c>
      <c r="Q954" s="7" t="s">
        <v>46</v>
      </c>
      <c r="R954" s="7" t="s">
        <v>45</v>
      </c>
    </row>
    <row r="955" spans="1:18" x14ac:dyDescent="0.25">
      <c r="B955" s="2" t="s">
        <v>21</v>
      </c>
      <c r="C955" s="15" t="s">
        <v>22</v>
      </c>
      <c r="D955" s="7">
        <v>249.58</v>
      </c>
      <c r="E955" s="95" t="s">
        <v>96</v>
      </c>
      <c r="F955" s="43">
        <v>0.12</v>
      </c>
      <c r="G955" s="35" t="s">
        <v>100</v>
      </c>
      <c r="H955" s="51">
        <v>2.96</v>
      </c>
      <c r="I955" s="51">
        <f>+IF(F955=0%,D955*H955,0)</f>
        <v>0</v>
      </c>
      <c r="J955" s="51">
        <f>+IF(F955=12%,D955*H955,0)</f>
        <v>738.7568</v>
      </c>
      <c r="K955" s="52">
        <v>0</v>
      </c>
      <c r="L955" s="53">
        <v>0</v>
      </c>
      <c r="M955" s="53">
        <f>+J955*K955</f>
        <v>0</v>
      </c>
      <c r="N955" s="53">
        <f>+(J955-M955)*F955</f>
        <v>88.650815999999992</v>
      </c>
      <c r="O955" s="53">
        <f>+J955-M955+N955</f>
        <v>827.40761599999996</v>
      </c>
      <c r="P955" s="7" t="s">
        <v>45</v>
      </c>
      <c r="Q955" s="95" t="s">
        <v>46</v>
      </c>
      <c r="R955" s="7" t="s">
        <v>45</v>
      </c>
    </row>
    <row r="956" spans="1:18" ht="30" x14ac:dyDescent="0.25">
      <c r="B956" s="2" t="s">
        <v>23</v>
      </c>
      <c r="C956" s="30" t="s">
        <v>70</v>
      </c>
      <c r="D956" s="7">
        <v>73.540000000000006</v>
      </c>
      <c r="E956" s="95" t="s">
        <v>97</v>
      </c>
      <c r="F956" s="43">
        <v>0.12</v>
      </c>
      <c r="G956" s="35" t="s">
        <v>101</v>
      </c>
      <c r="H956" s="51">
        <v>3.15</v>
      </c>
      <c r="I956" s="51">
        <f>+IF(F956=0%,D956*H956,0)</f>
        <v>0</v>
      </c>
      <c r="J956" s="51">
        <f>+IF(F956=12%,D956*H956,0)</f>
        <v>231.65100000000001</v>
      </c>
      <c r="K956" s="52">
        <v>0</v>
      </c>
      <c r="L956" s="53">
        <v>0</v>
      </c>
      <c r="M956" s="53">
        <f>+J956*K956</f>
        <v>0</v>
      </c>
      <c r="N956" s="53">
        <f>+(J956-M956)*F956</f>
        <v>27.798120000000001</v>
      </c>
      <c r="O956" s="53">
        <f>+J956-M956+N956</f>
        <v>259.44911999999999</v>
      </c>
      <c r="P956" s="7" t="s">
        <v>45</v>
      </c>
      <c r="Q956" s="95" t="s">
        <v>46</v>
      </c>
      <c r="R956" s="7" t="s">
        <v>45</v>
      </c>
    </row>
    <row r="957" spans="1:18" x14ac:dyDescent="0.25">
      <c r="B957" s="2" t="s">
        <v>26</v>
      </c>
      <c r="C957" s="12" t="s">
        <v>71</v>
      </c>
      <c r="D957" s="7">
        <v>29</v>
      </c>
      <c r="E957" s="95" t="s">
        <v>98</v>
      </c>
      <c r="F957" s="43">
        <v>0.12</v>
      </c>
      <c r="G957" s="35" t="s">
        <v>102</v>
      </c>
      <c r="H957" s="51">
        <v>1.25</v>
      </c>
      <c r="I957" s="51">
        <f>+IF(F957=0%,D957*H957,0)</f>
        <v>0</v>
      </c>
      <c r="J957" s="51">
        <f>+IF(F957=12%,D957*H957,0)</f>
        <v>36.25</v>
      </c>
      <c r="K957" s="52">
        <v>0</v>
      </c>
      <c r="L957" s="53">
        <v>0</v>
      </c>
      <c r="M957" s="53">
        <f>+J957*K957</f>
        <v>0</v>
      </c>
      <c r="N957" s="53">
        <f>+(J957-M957)*F957</f>
        <v>4.3499999999999996</v>
      </c>
      <c r="O957" s="53">
        <f>+J957-M957+N957</f>
        <v>40.6</v>
      </c>
      <c r="P957" s="7" t="s">
        <v>45</v>
      </c>
      <c r="Q957" s="95" t="s">
        <v>46</v>
      </c>
      <c r="R957" s="7" t="s">
        <v>45</v>
      </c>
    </row>
    <row r="958" spans="1:18" x14ac:dyDescent="0.25">
      <c r="B958" s="2" t="s">
        <v>27</v>
      </c>
      <c r="C958" s="3" t="s">
        <v>28</v>
      </c>
      <c r="D958" s="97">
        <v>1</v>
      </c>
      <c r="E958" t="s">
        <v>433</v>
      </c>
      <c r="F958" s="43">
        <v>0.12</v>
      </c>
      <c r="G958" t="s">
        <v>361</v>
      </c>
      <c r="H958" s="51">
        <v>380</v>
      </c>
      <c r="I958" s="51">
        <f>+IF(F958=0%,D958*H958,0)</f>
        <v>0</v>
      </c>
      <c r="J958" s="51">
        <f>+IF(F958=12%,D958*H958,0)</f>
        <v>380</v>
      </c>
      <c r="K958" s="52">
        <v>0</v>
      </c>
      <c r="L958" s="53">
        <v>0</v>
      </c>
      <c r="M958" s="53">
        <f>+J958*K958</f>
        <v>0</v>
      </c>
      <c r="N958" s="53">
        <f>+(J958-M958)*F958</f>
        <v>45.6</v>
      </c>
      <c r="O958" s="53">
        <f>+J958-M958+N958</f>
        <v>425.6</v>
      </c>
      <c r="P958" s="7" t="s">
        <v>276</v>
      </c>
      <c r="Q958" s="7" t="s">
        <v>277</v>
      </c>
      <c r="R958" s="7" t="s">
        <v>25</v>
      </c>
    </row>
    <row r="959" spans="1:18" ht="15.75" thickBot="1" x14ac:dyDescent="0.3">
      <c r="B959" s="2" t="s">
        <v>29</v>
      </c>
      <c r="C959" s="3">
        <v>1</v>
      </c>
      <c r="D959" s="97"/>
      <c r="E959" s="95"/>
      <c r="F959" s="95"/>
      <c r="G959" s="95"/>
      <c r="H959" s="10"/>
      <c r="I959" s="10"/>
      <c r="J959" s="10"/>
      <c r="K959" s="10"/>
      <c r="L959" s="95"/>
      <c r="M959" s="10"/>
      <c r="N959" s="10"/>
      <c r="O959" s="11"/>
      <c r="P959" s="95"/>
      <c r="Q959" s="95"/>
      <c r="R959" s="7"/>
    </row>
    <row r="960" spans="1:18" ht="15.75" thickBot="1" x14ac:dyDescent="0.3">
      <c r="B960" s="2" t="s">
        <v>30</v>
      </c>
      <c r="C960" s="7">
        <v>1122728319</v>
      </c>
      <c r="D960" s="16" t="s">
        <v>34</v>
      </c>
      <c r="E960" s="40">
        <f>+SUM(I954:I957)</f>
        <v>0</v>
      </c>
    </row>
    <row r="961" spans="2:15" ht="15.75" thickBot="1" x14ac:dyDescent="0.3">
      <c r="B961" s="2" t="s">
        <v>31</v>
      </c>
      <c r="C961" s="14">
        <v>43510</v>
      </c>
      <c r="D961" s="16" t="s">
        <v>36</v>
      </c>
      <c r="E961" s="17">
        <f>+SUM(J954:J959)</f>
        <v>1560.8087</v>
      </c>
    </row>
    <row r="962" spans="2:15" ht="15.75" thickBot="1" x14ac:dyDescent="0.3">
      <c r="B962" s="2" t="s">
        <v>32</v>
      </c>
      <c r="C962" s="15" t="s">
        <v>33</v>
      </c>
      <c r="D962" s="16" t="s">
        <v>39</v>
      </c>
      <c r="E962" s="17">
        <f>SUM(M954:M959)</f>
        <v>0</v>
      </c>
    </row>
    <row r="963" spans="2:15" ht="15.75" thickBot="1" x14ac:dyDescent="0.3">
      <c r="B963" s="2" t="s">
        <v>35</v>
      </c>
      <c r="C963" s="15" t="s">
        <v>33</v>
      </c>
      <c r="D963" s="16" t="s">
        <v>14</v>
      </c>
      <c r="E963" s="17">
        <f>SUM(N954:N959)</f>
        <v>187.297044</v>
      </c>
    </row>
    <row r="964" spans="2:15" ht="15.75" thickBot="1" x14ac:dyDescent="0.3">
      <c r="B964" s="2" t="s">
        <v>37</v>
      </c>
      <c r="C964" s="15" t="s">
        <v>368</v>
      </c>
      <c r="D964" s="16" t="s">
        <v>15</v>
      </c>
      <c r="E964" s="17">
        <f>SUM(O954:O959)</f>
        <v>1748.105744</v>
      </c>
    </row>
    <row r="965" spans="2:15" x14ac:dyDescent="0.25">
      <c r="B965" s="18"/>
      <c r="C965" s="18"/>
    </row>
    <row r="967" spans="2:15" x14ac:dyDescent="0.25">
      <c r="B967" s="114" t="s">
        <v>457</v>
      </c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</row>
    <row r="968" spans="2:15" x14ac:dyDescent="0.25">
      <c r="B968" s="2" t="s">
        <v>86</v>
      </c>
      <c r="C968" s="21" t="s">
        <v>143</v>
      </c>
    </row>
    <row r="969" spans="2:15" x14ac:dyDescent="0.25">
      <c r="B969" s="2" t="s">
        <v>58</v>
      </c>
      <c r="C969" s="21" t="s">
        <v>73</v>
      </c>
      <c r="E969" s="31" t="s">
        <v>279</v>
      </c>
    </row>
    <row r="970" spans="2:15" x14ac:dyDescent="0.25">
      <c r="B970" s="2" t="s">
        <v>60</v>
      </c>
      <c r="C970" s="21" t="s">
        <v>74</v>
      </c>
      <c r="D970" s="95" t="s">
        <v>154</v>
      </c>
      <c r="E970" s="110" t="s">
        <v>330</v>
      </c>
    </row>
    <row r="971" spans="2:15" x14ac:dyDescent="0.25">
      <c r="B971" s="2" t="s">
        <v>61</v>
      </c>
      <c r="C971" s="27">
        <f>+E964*D971</f>
        <v>1048.8634463999999</v>
      </c>
      <c r="D971" s="43">
        <v>0.6</v>
      </c>
    </row>
    <row r="972" spans="2:15" x14ac:dyDescent="0.25">
      <c r="B972" s="2" t="s">
        <v>147</v>
      </c>
      <c r="C972" s="21" t="s">
        <v>84</v>
      </c>
    </row>
    <row r="973" spans="2:15" x14ac:dyDescent="0.25">
      <c r="B973" s="2" t="s">
        <v>60</v>
      </c>
      <c r="C973" s="21" t="s">
        <v>85</v>
      </c>
      <c r="D973" s="95" t="s">
        <v>154</v>
      </c>
    </row>
    <row r="974" spans="2:15" x14ac:dyDescent="0.25">
      <c r="B974" s="2" t="s">
        <v>61</v>
      </c>
      <c r="C974" s="27">
        <f>+E964*D974</f>
        <v>699.24229760000003</v>
      </c>
      <c r="D974" s="43">
        <v>0.4</v>
      </c>
    </row>
    <row r="976" spans="2:15" s="71" customFormat="1" x14ac:dyDescent="0.25"/>
    <row r="977" spans="1:18" ht="26.25" x14ac:dyDescent="0.25">
      <c r="A977" s="78" t="s">
        <v>302</v>
      </c>
      <c r="B977" s="78" t="s">
        <v>92</v>
      </c>
      <c r="C977" s="79" t="s">
        <v>442</v>
      </c>
      <c r="D977" s="137" t="s">
        <v>304</v>
      </c>
      <c r="E977" s="137"/>
      <c r="F977" s="137"/>
    </row>
    <row r="978" spans="1:18" x14ac:dyDescent="0.25">
      <c r="B978" s="112" t="s">
        <v>398</v>
      </c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</row>
    <row r="979" spans="1:18" x14ac:dyDescent="0.25">
      <c r="B979" s="2" t="s">
        <v>6</v>
      </c>
      <c r="C979" s="3" t="s">
        <v>7</v>
      </c>
      <c r="D979" s="100" t="s">
        <v>8</v>
      </c>
      <c r="E979" s="5" t="s">
        <v>9</v>
      </c>
      <c r="F979" s="5" t="s">
        <v>14</v>
      </c>
      <c r="G979" s="5" t="s">
        <v>10</v>
      </c>
      <c r="H979" s="5" t="s">
        <v>11</v>
      </c>
      <c r="I979" s="5" t="s">
        <v>148</v>
      </c>
      <c r="J979" s="5" t="s">
        <v>149</v>
      </c>
      <c r="K979" s="5" t="s">
        <v>12</v>
      </c>
      <c r="L979" s="5" t="s">
        <v>13</v>
      </c>
      <c r="M979" s="5" t="s">
        <v>40</v>
      </c>
      <c r="N979" s="5" t="s">
        <v>14</v>
      </c>
      <c r="O979" s="5" t="s">
        <v>15</v>
      </c>
      <c r="P979" s="5" t="s">
        <v>16</v>
      </c>
      <c r="Q979" s="5" t="s">
        <v>17</v>
      </c>
      <c r="R979" s="5" t="s">
        <v>18</v>
      </c>
    </row>
    <row r="980" spans="1:18" x14ac:dyDescent="0.25">
      <c r="B980" s="2" t="s">
        <v>19</v>
      </c>
      <c r="C980" s="6" t="s">
        <v>20</v>
      </c>
      <c r="D980" s="95">
        <v>48.26</v>
      </c>
      <c r="E980" s="95" t="s">
        <v>107</v>
      </c>
      <c r="F980" s="43">
        <v>0.12</v>
      </c>
      <c r="G980" s="35" t="s">
        <v>108</v>
      </c>
      <c r="H980" s="51">
        <v>1.26</v>
      </c>
      <c r="I980" s="51">
        <f>+IF(F980=0%,D980*H980,0)</f>
        <v>0</v>
      </c>
      <c r="J980" s="51">
        <f>+IF(F980=12%,D980*H980,0)</f>
        <v>60.807600000000001</v>
      </c>
      <c r="K980" s="81">
        <v>0.28539999999999999</v>
      </c>
      <c r="L980" s="53">
        <v>0</v>
      </c>
      <c r="M980" s="53">
        <f>+J980*K980</f>
        <v>17.354489040000001</v>
      </c>
      <c r="N980" s="53">
        <f>+(J980-M980)*F980</f>
        <v>5.2143733152000005</v>
      </c>
      <c r="O980" s="53">
        <f>+J980-M980+N980</f>
        <v>48.667484275200003</v>
      </c>
      <c r="P980" s="7" t="s">
        <v>45</v>
      </c>
      <c r="Q980" s="7" t="s">
        <v>46</v>
      </c>
      <c r="R980" s="7" t="s">
        <v>45</v>
      </c>
    </row>
    <row r="981" spans="1:18" x14ac:dyDescent="0.25">
      <c r="B981" s="2" t="s">
        <v>21</v>
      </c>
      <c r="C981" s="15" t="s">
        <v>22</v>
      </c>
      <c r="D981" s="95">
        <v>356.48</v>
      </c>
      <c r="E981" s="95" t="s">
        <v>109</v>
      </c>
      <c r="F981" s="43">
        <v>0.12</v>
      </c>
      <c r="G981" s="35" t="s">
        <v>110</v>
      </c>
      <c r="H981" s="51">
        <v>0.98</v>
      </c>
      <c r="I981" s="51">
        <f t="shared" ref="I981:I986" si="1">+IF(F981=0%,D981*H981,0)</f>
        <v>0</v>
      </c>
      <c r="J981" s="51">
        <f t="shared" ref="J981:J986" si="2">+IF(F981=12%,D981*H981,0)</f>
        <v>349.35040000000004</v>
      </c>
      <c r="K981" s="81">
        <v>0</v>
      </c>
      <c r="L981" s="53">
        <v>0</v>
      </c>
      <c r="M981" s="53">
        <f>+J981*K981</f>
        <v>0</v>
      </c>
      <c r="N981" s="53">
        <f>+(J981-M981)*F981</f>
        <v>41.922048000000004</v>
      </c>
      <c r="O981" s="53">
        <f>+J981-M981+N981</f>
        <v>391.27244800000005</v>
      </c>
      <c r="P981" s="7" t="s">
        <v>45</v>
      </c>
      <c r="Q981" s="95" t="s">
        <v>46</v>
      </c>
      <c r="R981" s="7" t="s">
        <v>45</v>
      </c>
    </row>
    <row r="982" spans="1:18" ht="30" x14ac:dyDescent="0.25">
      <c r="B982" s="2" t="s">
        <v>23</v>
      </c>
      <c r="C982" s="8" t="s">
        <v>70</v>
      </c>
      <c r="D982" s="95">
        <v>277.83</v>
      </c>
      <c r="E982" s="95" t="s">
        <v>111</v>
      </c>
      <c r="F982" s="43">
        <v>0.12</v>
      </c>
      <c r="G982" s="35" t="s">
        <v>112</v>
      </c>
      <c r="H982" s="51">
        <v>1.25</v>
      </c>
      <c r="I982" s="51">
        <f t="shared" si="1"/>
        <v>0</v>
      </c>
      <c r="J982" s="51">
        <f t="shared" si="2"/>
        <v>347.28749999999997</v>
      </c>
      <c r="K982" s="81">
        <v>0.35260000000000002</v>
      </c>
      <c r="L982" s="53">
        <v>0</v>
      </c>
      <c r="M982" s="53">
        <f>+J982*K982</f>
        <v>122.45357249999999</v>
      </c>
      <c r="N982" s="53">
        <f>+(J982-M982)*F982</f>
        <v>26.980071299999995</v>
      </c>
      <c r="O982" s="53">
        <f>+J982-M982+N982</f>
        <v>251.81399879999995</v>
      </c>
      <c r="P982" s="7" t="s">
        <v>45</v>
      </c>
      <c r="Q982" s="95" t="s">
        <v>46</v>
      </c>
      <c r="R982" s="7" t="s">
        <v>45</v>
      </c>
    </row>
    <row r="983" spans="1:18" x14ac:dyDescent="0.25">
      <c r="B983" s="2" t="s">
        <v>26</v>
      </c>
      <c r="C983" s="12" t="s">
        <v>71</v>
      </c>
      <c r="D983" s="95">
        <v>1925.36</v>
      </c>
      <c r="E983" s="95" t="s">
        <v>287</v>
      </c>
      <c r="F983" s="43">
        <v>0</v>
      </c>
      <c r="G983" s="35" t="s">
        <v>292</v>
      </c>
      <c r="H983" s="51">
        <v>0.87</v>
      </c>
      <c r="I983" s="51">
        <f t="shared" si="1"/>
        <v>1675.0631999999998</v>
      </c>
      <c r="J983" s="51">
        <f t="shared" si="2"/>
        <v>0</v>
      </c>
      <c r="K983" s="81">
        <v>0</v>
      </c>
      <c r="L983" s="53">
        <v>0</v>
      </c>
      <c r="M983" s="53">
        <f>+I983*K983</f>
        <v>0</v>
      </c>
      <c r="N983" s="53">
        <f>+(I983-M983)*F983</f>
        <v>0</v>
      </c>
      <c r="O983" s="53">
        <f>+I983-M983</f>
        <v>1675.0631999999998</v>
      </c>
      <c r="P983" s="7" t="s">
        <v>45</v>
      </c>
      <c r="Q983" s="95" t="s">
        <v>46</v>
      </c>
      <c r="R983" s="7" t="s">
        <v>45</v>
      </c>
    </row>
    <row r="984" spans="1:18" x14ac:dyDescent="0.25">
      <c r="B984" s="2" t="s">
        <v>27</v>
      </c>
      <c r="C984" s="3" t="s">
        <v>28</v>
      </c>
      <c r="D984" s="95">
        <v>14.26</v>
      </c>
      <c r="E984" s="95" t="s">
        <v>288</v>
      </c>
      <c r="F984" s="43">
        <v>0</v>
      </c>
      <c r="G984" s="35" t="s">
        <v>293</v>
      </c>
      <c r="H984" s="10">
        <v>7.86</v>
      </c>
      <c r="I984" s="10">
        <f t="shared" si="1"/>
        <v>112.0836</v>
      </c>
      <c r="J984" s="10">
        <f t="shared" si="2"/>
        <v>0</v>
      </c>
      <c r="K984" s="81">
        <v>0.28770000000000001</v>
      </c>
      <c r="L984" s="53">
        <v>0</v>
      </c>
      <c r="M984" s="53">
        <f>+I984*K984</f>
        <v>32.246451720000003</v>
      </c>
      <c r="N984" s="53">
        <f>+(I984-M984)*F984</f>
        <v>0</v>
      </c>
      <c r="O984" s="53">
        <f>+I984-M984</f>
        <v>79.837148280000008</v>
      </c>
      <c r="P984" s="7" t="s">
        <v>45</v>
      </c>
      <c r="Q984" s="95" t="s">
        <v>46</v>
      </c>
      <c r="R984" s="7" t="s">
        <v>45</v>
      </c>
    </row>
    <row r="985" spans="1:18" x14ac:dyDescent="0.25">
      <c r="B985" s="2" t="s">
        <v>29</v>
      </c>
      <c r="C985" s="3">
        <v>1</v>
      </c>
      <c r="D985" s="95">
        <v>787.59</v>
      </c>
      <c r="E985" s="95" t="s">
        <v>289</v>
      </c>
      <c r="F985" s="43">
        <v>0</v>
      </c>
      <c r="G985" s="35" t="s">
        <v>294</v>
      </c>
      <c r="H985" s="10">
        <v>2.14</v>
      </c>
      <c r="I985" s="10">
        <f t="shared" si="1"/>
        <v>1685.4426000000001</v>
      </c>
      <c r="J985" s="10">
        <f t="shared" si="2"/>
        <v>0</v>
      </c>
      <c r="K985" s="81">
        <v>2.3E-3</v>
      </c>
      <c r="L985" s="53">
        <v>0</v>
      </c>
      <c r="M985" s="53">
        <f>+I985*K985</f>
        <v>3.87651798</v>
      </c>
      <c r="N985" s="53">
        <f>+(I985-M985)*F985</f>
        <v>0</v>
      </c>
      <c r="O985" s="53">
        <f>+I985-M985</f>
        <v>1681.5660820200001</v>
      </c>
      <c r="P985" s="7" t="s">
        <v>45</v>
      </c>
      <c r="Q985" s="95" t="s">
        <v>46</v>
      </c>
      <c r="R985" s="7" t="s">
        <v>45</v>
      </c>
    </row>
    <row r="986" spans="1:18" x14ac:dyDescent="0.25">
      <c r="B986" s="2" t="s">
        <v>30</v>
      </c>
      <c r="C986" s="7">
        <v>1120335551</v>
      </c>
      <c r="D986" s="80">
        <v>1</v>
      </c>
      <c r="E986" s="95" t="s">
        <v>429</v>
      </c>
      <c r="F986" s="43">
        <v>0.12</v>
      </c>
      <c r="G986" s="95" t="s">
        <v>115</v>
      </c>
      <c r="H986" s="10">
        <v>240</v>
      </c>
      <c r="I986" s="10">
        <f t="shared" si="1"/>
        <v>0</v>
      </c>
      <c r="J986" s="10">
        <f t="shared" si="2"/>
        <v>240</v>
      </c>
      <c r="K986" s="82">
        <v>0.05</v>
      </c>
      <c r="L986" s="53">
        <v>0</v>
      </c>
      <c r="M986" s="53">
        <f>+J986*K986</f>
        <v>12</v>
      </c>
      <c r="N986" s="53">
        <f>+(J986-M986)*F986</f>
        <v>27.36</v>
      </c>
      <c r="O986" s="53">
        <f>+J986-M986+N986</f>
        <v>255.36</v>
      </c>
      <c r="P986" s="35" t="s">
        <v>275</v>
      </c>
      <c r="Q986" s="95" t="s">
        <v>274</v>
      </c>
      <c r="R986" s="7" t="s">
        <v>25</v>
      </c>
    </row>
    <row r="987" spans="1:18" ht="15" customHeight="1" thickBot="1" x14ac:dyDescent="0.3">
      <c r="B987" s="2" t="s">
        <v>31</v>
      </c>
      <c r="C987" s="14">
        <v>43511</v>
      </c>
      <c r="D987" s="39" t="s">
        <v>148</v>
      </c>
      <c r="E987" s="49">
        <f>+SUM(I980:I986)</f>
        <v>3472.5893999999998</v>
      </c>
      <c r="G987" s="23"/>
      <c r="H987" s="41"/>
      <c r="I987" s="41"/>
      <c r="J987" s="41"/>
      <c r="K987" s="130" t="s">
        <v>305</v>
      </c>
      <c r="L987" s="23"/>
      <c r="M987" s="41"/>
      <c r="N987" s="41"/>
      <c r="O987" s="42"/>
      <c r="P987" s="23"/>
      <c r="Q987" s="23"/>
      <c r="R987" s="22"/>
    </row>
    <row r="988" spans="1:18" ht="15.75" thickBot="1" x14ac:dyDescent="0.3">
      <c r="B988" s="2" t="s">
        <v>32</v>
      </c>
      <c r="C988" s="15" t="s">
        <v>33</v>
      </c>
      <c r="D988" s="16" t="s">
        <v>36</v>
      </c>
      <c r="E988" s="50">
        <f>+SUM(J980:J986)</f>
        <v>997.44550000000004</v>
      </c>
      <c r="K988" s="130"/>
    </row>
    <row r="989" spans="1:18" ht="15.75" thickBot="1" x14ac:dyDescent="0.3">
      <c r="B989" s="2" t="s">
        <v>35</v>
      </c>
      <c r="C989" s="15" t="s">
        <v>33</v>
      </c>
      <c r="D989" s="16" t="s">
        <v>39</v>
      </c>
      <c r="E989" s="50">
        <f>SUM(M980:M986)</f>
        <v>187.93103123999998</v>
      </c>
      <c r="K989" s="130"/>
      <c r="M989" s="77"/>
    </row>
    <row r="990" spans="1:18" ht="15.75" thickBot="1" x14ac:dyDescent="0.3">
      <c r="B990" s="2" t="s">
        <v>37</v>
      </c>
      <c r="C990" s="15" t="s">
        <v>369</v>
      </c>
      <c r="D990" s="16" t="s">
        <v>14</v>
      </c>
      <c r="E990" s="50">
        <f>SUM(N980:N986)</f>
        <v>101.4764926152</v>
      </c>
      <c r="K990" s="130"/>
    </row>
    <row r="991" spans="1:18" ht="15.75" thickBot="1" x14ac:dyDescent="0.3">
      <c r="B991" s="18"/>
      <c r="C991" s="18"/>
      <c r="D991" s="16" t="s">
        <v>15</v>
      </c>
      <c r="E991" s="50">
        <f>SUM(O980:O986)</f>
        <v>4383.5803613751996</v>
      </c>
      <c r="K991" s="130"/>
    </row>
    <row r="992" spans="1:18" x14ac:dyDescent="0.25">
      <c r="B992" s="18"/>
      <c r="C992" s="18"/>
    </row>
    <row r="993" spans="1:18" x14ac:dyDescent="0.25">
      <c r="B993" s="18"/>
      <c r="C993" s="18"/>
    </row>
    <row r="994" spans="1:18" x14ac:dyDescent="0.25">
      <c r="B994" s="114" t="s">
        <v>399</v>
      </c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</row>
    <row r="995" spans="1:18" x14ac:dyDescent="0.25">
      <c r="B995" s="2" t="s">
        <v>48</v>
      </c>
      <c r="C995" s="15" t="s">
        <v>33</v>
      </c>
      <c r="D995" s="19" t="s">
        <v>16</v>
      </c>
      <c r="E995" s="115" t="s">
        <v>152</v>
      </c>
      <c r="F995" s="116"/>
      <c r="G995" s="99" t="s">
        <v>150</v>
      </c>
      <c r="H995" s="117" t="s">
        <v>49</v>
      </c>
      <c r="I995" s="118"/>
      <c r="J995" s="117" t="s">
        <v>151</v>
      </c>
      <c r="K995" s="118"/>
      <c r="L995" s="5" t="s">
        <v>50</v>
      </c>
      <c r="M995" s="5" t="s">
        <v>51</v>
      </c>
      <c r="N995" s="117" t="s">
        <v>155</v>
      </c>
      <c r="O995" s="118"/>
    </row>
    <row r="996" spans="1:18" x14ac:dyDescent="0.25">
      <c r="B996" s="2" t="s">
        <v>52</v>
      </c>
      <c r="C996" s="15" t="s">
        <v>33</v>
      </c>
      <c r="D996" s="95" t="s">
        <v>166</v>
      </c>
      <c r="E996" s="119" t="s">
        <v>463</v>
      </c>
      <c r="F996" s="119"/>
      <c r="G996" s="96">
        <v>731</v>
      </c>
      <c r="H996" s="120" t="s">
        <v>14</v>
      </c>
      <c r="I996" s="121"/>
      <c r="J996" s="122">
        <v>1</v>
      </c>
      <c r="K996" s="123"/>
      <c r="L996" s="54">
        <f>+E990*J996</f>
        <v>101.4764926152</v>
      </c>
      <c r="M996" s="131">
        <f>+L996+L997</f>
        <v>144.2975313028</v>
      </c>
      <c r="N996" s="133">
        <f>+E991-M996</f>
        <v>4239.2828300723995</v>
      </c>
      <c r="O996" s="134"/>
    </row>
    <row r="997" spans="1:18" x14ac:dyDescent="0.25">
      <c r="B997" s="2" t="s">
        <v>53</v>
      </c>
      <c r="C997" s="15" t="s">
        <v>162</v>
      </c>
      <c r="D997" s="95" t="s">
        <v>165</v>
      </c>
      <c r="E997" s="119" t="s">
        <v>462</v>
      </c>
      <c r="F997" s="119"/>
      <c r="G997" s="96">
        <v>309</v>
      </c>
      <c r="H997" s="120" t="s">
        <v>153</v>
      </c>
      <c r="I997" s="121"/>
      <c r="J997" s="122">
        <v>0.01</v>
      </c>
      <c r="K997" s="123"/>
      <c r="L997" s="54">
        <f>(E988+E987-E989)*J997</f>
        <v>42.821038687599994</v>
      </c>
      <c r="M997" s="132"/>
      <c r="N997" s="135"/>
      <c r="O997" s="136"/>
    </row>
    <row r="998" spans="1:18" x14ac:dyDescent="0.25">
      <c r="B998" s="2" t="s">
        <v>55</v>
      </c>
      <c r="C998" s="3" t="str">
        <f>+CONCATENATE(C988,"-",C989,"-",C990)</f>
        <v>001-001-132</v>
      </c>
    </row>
    <row r="999" spans="1:18" x14ac:dyDescent="0.25">
      <c r="B999" s="2" t="s">
        <v>57</v>
      </c>
      <c r="C999" s="21">
        <f>+C987</f>
        <v>43511</v>
      </c>
    </row>
    <row r="1000" spans="1:18" x14ac:dyDescent="0.25">
      <c r="B1000" s="2" t="s">
        <v>86</v>
      </c>
      <c r="C1000" s="21" t="s">
        <v>87</v>
      </c>
      <c r="D1000" s="22"/>
      <c r="E1000" s="28" t="s">
        <v>279</v>
      </c>
      <c r="F1000" s="23"/>
      <c r="H1000" s="23"/>
      <c r="I1000" s="23"/>
      <c r="J1000" s="24"/>
      <c r="K1000" s="24"/>
      <c r="L1000" s="25"/>
      <c r="M1000" s="26"/>
      <c r="N1000" s="22"/>
      <c r="O1000" s="22"/>
    </row>
    <row r="1001" spans="1:18" x14ac:dyDescent="0.25">
      <c r="B1001" s="2" t="s">
        <v>59</v>
      </c>
      <c r="C1001" s="21" t="s">
        <v>84</v>
      </c>
      <c r="D1001" s="22"/>
      <c r="E1001" s="23"/>
      <c r="F1001" s="23"/>
      <c r="H1001" s="23"/>
      <c r="I1001" s="23"/>
      <c r="J1001" s="24"/>
      <c r="K1001" s="24"/>
      <c r="L1001" s="25"/>
      <c r="M1001" s="26"/>
      <c r="N1001" s="22"/>
      <c r="O1001" s="22"/>
    </row>
    <row r="1002" spans="1:18" x14ac:dyDescent="0.25">
      <c r="B1002" s="2" t="s">
        <v>60</v>
      </c>
      <c r="C1002" s="21" t="s">
        <v>85</v>
      </c>
      <c r="D1002" s="22"/>
      <c r="E1002" s="23"/>
      <c r="F1002" s="23"/>
      <c r="H1002" s="23"/>
      <c r="I1002" s="23"/>
      <c r="J1002" s="24"/>
      <c r="K1002" s="24"/>
      <c r="L1002" s="25"/>
      <c r="M1002" s="26"/>
      <c r="N1002" s="22"/>
      <c r="O1002" s="22"/>
    </row>
    <row r="1003" spans="1:18" x14ac:dyDescent="0.25">
      <c r="B1003" s="2" t="s">
        <v>61</v>
      </c>
      <c r="C1003" s="27">
        <f>+E991-M996</f>
        <v>4239.2828300723995</v>
      </c>
      <c r="D1003" s="22"/>
      <c r="E1003" s="28"/>
      <c r="G1003" s="23"/>
      <c r="H1003" s="24"/>
      <c r="I1003" s="24"/>
      <c r="J1003" s="24"/>
      <c r="K1003" s="25"/>
      <c r="L1003" s="26"/>
      <c r="M1003" s="22"/>
      <c r="N1003" s="22"/>
    </row>
    <row r="1006" spans="1:18" ht="26.25" x14ac:dyDescent="0.25">
      <c r="A1006" s="78" t="s">
        <v>302</v>
      </c>
      <c r="B1006" s="78" t="s">
        <v>308</v>
      </c>
      <c r="C1006" s="79" t="s">
        <v>443</v>
      </c>
      <c r="D1006" s="137" t="s">
        <v>304</v>
      </c>
      <c r="E1006" s="137"/>
      <c r="F1006" s="137"/>
    </row>
    <row r="1007" spans="1:18" x14ac:dyDescent="0.25">
      <c r="B1007" s="112" t="s">
        <v>398</v>
      </c>
      <c r="C1007" s="113"/>
      <c r="D1007" s="113"/>
      <c r="E1007" s="113"/>
      <c r="F1007" s="113"/>
      <c r="G1007" s="113"/>
      <c r="H1007" s="113"/>
      <c r="I1007" s="113"/>
      <c r="J1007" s="113"/>
      <c r="K1007" s="113"/>
      <c r="L1007" s="113"/>
      <c r="M1007" s="113"/>
      <c r="N1007" s="113"/>
      <c r="O1007" s="113"/>
      <c r="P1007" s="113"/>
      <c r="Q1007" s="113"/>
      <c r="R1007" s="113"/>
    </row>
    <row r="1008" spans="1:18" x14ac:dyDescent="0.25">
      <c r="B1008" s="2" t="s">
        <v>6</v>
      </c>
      <c r="C1008" s="3" t="s">
        <v>7</v>
      </c>
      <c r="D1008" s="100" t="s">
        <v>8</v>
      </c>
      <c r="E1008" s="5" t="s">
        <v>9</v>
      </c>
      <c r="F1008" s="5" t="s">
        <v>14</v>
      </c>
      <c r="G1008" s="5" t="s">
        <v>10</v>
      </c>
      <c r="H1008" s="5" t="s">
        <v>11</v>
      </c>
      <c r="I1008" s="5" t="s">
        <v>148</v>
      </c>
      <c r="J1008" s="5" t="s">
        <v>149</v>
      </c>
      <c r="K1008" s="5" t="s">
        <v>12</v>
      </c>
      <c r="L1008" s="5" t="s">
        <v>13</v>
      </c>
      <c r="M1008" s="5" t="s">
        <v>40</v>
      </c>
      <c r="N1008" s="5" t="s">
        <v>14</v>
      </c>
      <c r="O1008" s="5" t="s">
        <v>15</v>
      </c>
      <c r="P1008" s="5" t="s">
        <v>16</v>
      </c>
      <c r="Q1008" s="5" t="s">
        <v>17</v>
      </c>
      <c r="R1008" s="5" t="s">
        <v>18</v>
      </c>
    </row>
    <row r="1009" spans="2:18" x14ac:dyDescent="0.25">
      <c r="B1009" s="2" t="s">
        <v>19</v>
      </c>
      <c r="C1009" s="6" t="s">
        <v>20</v>
      </c>
      <c r="D1009" s="95">
        <v>48.26</v>
      </c>
      <c r="E1009" s="95" t="s">
        <v>107</v>
      </c>
      <c r="F1009" s="43">
        <v>0.12</v>
      </c>
      <c r="G1009" s="35" t="s">
        <v>108</v>
      </c>
      <c r="H1009" s="51">
        <v>1.26</v>
      </c>
      <c r="I1009" s="51">
        <f>+IF(F1009=0%,D1009*H1009,0)</f>
        <v>0</v>
      </c>
      <c r="J1009" s="51">
        <f>+IF(F1009=12%,D1009*H1009,0)</f>
        <v>60.807600000000001</v>
      </c>
      <c r="K1009" s="81">
        <v>0.28539999999999999</v>
      </c>
      <c r="L1009" s="53">
        <v>0</v>
      </c>
      <c r="M1009" s="53">
        <f>+J1009*K1009</f>
        <v>17.354489040000001</v>
      </c>
      <c r="N1009" s="53">
        <f>+(J1009-M1009)*F1009</f>
        <v>5.2143733152000005</v>
      </c>
      <c r="O1009" s="53">
        <f>+J1009-M1009+N1009</f>
        <v>48.667484275200003</v>
      </c>
      <c r="P1009" s="7" t="s">
        <v>45</v>
      </c>
      <c r="Q1009" s="7" t="s">
        <v>46</v>
      </c>
      <c r="R1009" s="7" t="s">
        <v>45</v>
      </c>
    </row>
    <row r="1010" spans="2:18" x14ac:dyDescent="0.25">
      <c r="B1010" s="2" t="s">
        <v>21</v>
      </c>
      <c r="C1010" s="15" t="s">
        <v>22</v>
      </c>
      <c r="D1010" s="95">
        <v>356.48</v>
      </c>
      <c r="E1010" s="95" t="s">
        <v>109</v>
      </c>
      <c r="F1010" s="43">
        <v>0.12</v>
      </c>
      <c r="G1010" s="35" t="s">
        <v>110</v>
      </c>
      <c r="H1010" s="51">
        <v>0.98</v>
      </c>
      <c r="I1010" s="51">
        <f t="shared" ref="I1010:I1015" si="3">+IF(F1010=0%,D1010*H1010,0)</f>
        <v>0</v>
      </c>
      <c r="J1010" s="51">
        <f t="shared" ref="J1010:J1015" si="4">+IF(F1010=12%,D1010*H1010,0)</f>
        <v>349.35040000000004</v>
      </c>
      <c r="K1010" s="81">
        <v>0</v>
      </c>
      <c r="L1010" s="53">
        <v>0</v>
      </c>
      <c r="M1010" s="53">
        <f>+J1010*K1010</f>
        <v>0</v>
      </c>
      <c r="N1010" s="53">
        <f>+(J1010-M1010)*F1010</f>
        <v>41.922048000000004</v>
      </c>
      <c r="O1010" s="53">
        <f>+J1010-M1010+N1010</f>
        <v>391.27244800000005</v>
      </c>
      <c r="P1010" s="7" t="s">
        <v>45</v>
      </c>
      <c r="Q1010" s="95" t="s">
        <v>46</v>
      </c>
      <c r="R1010" s="7" t="s">
        <v>45</v>
      </c>
    </row>
    <row r="1011" spans="2:18" ht="30" x14ac:dyDescent="0.25">
      <c r="B1011" s="2" t="s">
        <v>23</v>
      </c>
      <c r="C1011" s="8" t="s">
        <v>70</v>
      </c>
      <c r="D1011" s="95">
        <v>277.83</v>
      </c>
      <c r="E1011" s="95" t="s">
        <v>111</v>
      </c>
      <c r="F1011" s="43">
        <v>0.12</v>
      </c>
      <c r="G1011" s="35" t="s">
        <v>112</v>
      </c>
      <c r="H1011" s="51">
        <v>1.25</v>
      </c>
      <c r="I1011" s="51">
        <f t="shared" si="3"/>
        <v>0</v>
      </c>
      <c r="J1011" s="51">
        <f t="shared" si="4"/>
        <v>347.28749999999997</v>
      </c>
      <c r="K1011" s="81">
        <v>0.35260000000000002</v>
      </c>
      <c r="L1011" s="53">
        <v>0</v>
      </c>
      <c r="M1011" s="53">
        <f>+J1011*K1011</f>
        <v>122.45357249999999</v>
      </c>
      <c r="N1011" s="53">
        <f>+(J1011-M1011)*F1011</f>
        <v>26.980071299999995</v>
      </c>
      <c r="O1011" s="53">
        <f>+J1011-M1011+N1011</f>
        <v>251.81399879999995</v>
      </c>
      <c r="P1011" s="7" t="s">
        <v>45</v>
      </c>
      <c r="Q1011" s="95" t="s">
        <v>46</v>
      </c>
      <c r="R1011" s="7" t="s">
        <v>45</v>
      </c>
    </row>
    <row r="1012" spans="2:18" x14ac:dyDescent="0.25">
      <c r="B1012" s="2" t="s">
        <v>26</v>
      </c>
      <c r="C1012" s="12" t="s">
        <v>71</v>
      </c>
      <c r="D1012" s="95">
        <v>1925.36</v>
      </c>
      <c r="E1012" s="95" t="s">
        <v>287</v>
      </c>
      <c r="F1012" s="43">
        <v>0</v>
      </c>
      <c r="G1012" s="35" t="s">
        <v>292</v>
      </c>
      <c r="H1012" s="51">
        <v>0.87</v>
      </c>
      <c r="I1012" s="51">
        <f t="shared" si="3"/>
        <v>1675.0631999999998</v>
      </c>
      <c r="J1012" s="51">
        <f t="shared" si="4"/>
        <v>0</v>
      </c>
      <c r="K1012" s="81">
        <v>0</v>
      </c>
      <c r="L1012" s="53">
        <v>0</v>
      </c>
      <c r="M1012" s="53">
        <f>+I1012*K1012</f>
        <v>0</v>
      </c>
      <c r="N1012" s="53">
        <f>+(I1012-M1012)*F1012</f>
        <v>0</v>
      </c>
      <c r="O1012" s="53">
        <f>+I1012-M1012</f>
        <v>1675.0631999999998</v>
      </c>
      <c r="P1012" s="7" t="s">
        <v>45</v>
      </c>
      <c r="Q1012" s="95" t="s">
        <v>46</v>
      </c>
      <c r="R1012" s="7" t="s">
        <v>45</v>
      </c>
    </row>
    <row r="1013" spans="2:18" x14ac:dyDescent="0.25">
      <c r="B1013" s="2" t="s">
        <v>27</v>
      </c>
      <c r="C1013" s="3" t="s">
        <v>28</v>
      </c>
      <c r="D1013" s="95">
        <v>14.26</v>
      </c>
      <c r="E1013" s="95" t="s">
        <v>288</v>
      </c>
      <c r="F1013" s="43">
        <v>0</v>
      </c>
      <c r="G1013" s="35" t="s">
        <v>293</v>
      </c>
      <c r="H1013" s="10">
        <v>7.86</v>
      </c>
      <c r="I1013" s="10">
        <f t="shared" si="3"/>
        <v>112.0836</v>
      </c>
      <c r="J1013" s="10">
        <f t="shared" si="4"/>
        <v>0</v>
      </c>
      <c r="K1013" s="81">
        <v>0.28770000000000001</v>
      </c>
      <c r="L1013" s="53">
        <v>0</v>
      </c>
      <c r="M1013" s="53">
        <f>+I1013*K1013</f>
        <v>32.246451720000003</v>
      </c>
      <c r="N1013" s="53">
        <f>+(I1013-M1013)*F1013</f>
        <v>0</v>
      </c>
      <c r="O1013" s="53">
        <f>+I1013-M1013</f>
        <v>79.837148280000008</v>
      </c>
      <c r="P1013" s="7" t="s">
        <v>45</v>
      </c>
      <c r="Q1013" s="95" t="s">
        <v>46</v>
      </c>
      <c r="R1013" s="7" t="s">
        <v>45</v>
      </c>
    </row>
    <row r="1014" spans="2:18" x14ac:dyDescent="0.25">
      <c r="B1014" s="2" t="s">
        <v>29</v>
      </c>
      <c r="C1014" s="3">
        <v>1</v>
      </c>
      <c r="D1014" s="95">
        <v>787.59</v>
      </c>
      <c r="E1014" s="95" t="s">
        <v>289</v>
      </c>
      <c r="F1014" s="43">
        <v>0</v>
      </c>
      <c r="G1014" s="35" t="s">
        <v>294</v>
      </c>
      <c r="H1014" s="10">
        <v>2.14</v>
      </c>
      <c r="I1014" s="10">
        <f t="shared" si="3"/>
        <v>1685.4426000000001</v>
      </c>
      <c r="J1014" s="10">
        <f t="shared" si="4"/>
        <v>0</v>
      </c>
      <c r="K1014" s="81">
        <v>2.3E-3</v>
      </c>
      <c r="L1014" s="53">
        <v>0</v>
      </c>
      <c r="M1014" s="53">
        <f>+I1014*K1014</f>
        <v>3.87651798</v>
      </c>
      <c r="N1014" s="53">
        <f>+(I1014-M1014)*F1014</f>
        <v>0</v>
      </c>
      <c r="O1014" s="53">
        <f>+I1014-M1014</f>
        <v>1681.5660820200001</v>
      </c>
      <c r="P1014" s="7" t="s">
        <v>45</v>
      </c>
      <c r="Q1014" s="95" t="s">
        <v>46</v>
      </c>
      <c r="R1014" s="7" t="s">
        <v>45</v>
      </c>
    </row>
    <row r="1015" spans="2:18" x14ac:dyDescent="0.25">
      <c r="B1015" s="2" t="s">
        <v>30</v>
      </c>
      <c r="C1015" s="7">
        <v>1120335551</v>
      </c>
      <c r="D1015" s="80">
        <v>1</v>
      </c>
      <c r="E1015" s="95" t="s">
        <v>429</v>
      </c>
      <c r="F1015" s="43">
        <v>0.12</v>
      </c>
      <c r="G1015" s="95" t="s">
        <v>115</v>
      </c>
      <c r="H1015" s="10">
        <v>240</v>
      </c>
      <c r="I1015" s="10">
        <f t="shared" si="3"/>
        <v>0</v>
      </c>
      <c r="J1015" s="10">
        <f t="shared" si="4"/>
        <v>240</v>
      </c>
      <c r="K1015" s="82">
        <v>0.05</v>
      </c>
      <c r="L1015" s="53">
        <v>0</v>
      </c>
      <c r="M1015" s="53">
        <f>+J1015*K1015</f>
        <v>12</v>
      </c>
      <c r="N1015" s="53">
        <f>+(J1015-M1015)*F1015</f>
        <v>27.36</v>
      </c>
      <c r="O1015" s="53">
        <f>+J1015-M1015+N1015</f>
        <v>255.36</v>
      </c>
      <c r="P1015" s="35" t="s">
        <v>275</v>
      </c>
      <c r="Q1015" s="95" t="s">
        <v>274</v>
      </c>
      <c r="R1015" s="7" t="s">
        <v>25</v>
      </c>
    </row>
    <row r="1016" spans="2:18" ht="15.75" thickBot="1" x14ac:dyDescent="0.3">
      <c r="B1016" s="2" t="s">
        <v>31</v>
      </c>
      <c r="C1016" s="14">
        <v>43511</v>
      </c>
      <c r="D1016" s="39" t="s">
        <v>148</v>
      </c>
      <c r="E1016" s="49">
        <f>+SUM(I1009:I1015)</f>
        <v>3472.5893999999998</v>
      </c>
      <c r="G1016" s="23"/>
      <c r="H1016" s="41"/>
      <c r="I1016" s="41"/>
      <c r="J1016" s="41"/>
      <c r="K1016" s="130" t="s">
        <v>305</v>
      </c>
      <c r="L1016" s="23"/>
      <c r="M1016" s="41"/>
      <c r="N1016" s="41"/>
      <c r="O1016" s="42"/>
      <c r="P1016" s="23"/>
      <c r="Q1016" s="23"/>
      <c r="R1016" s="22"/>
    </row>
    <row r="1017" spans="2:18" ht="15.75" thickBot="1" x14ac:dyDescent="0.3">
      <c r="B1017" s="2" t="s">
        <v>32</v>
      </c>
      <c r="C1017" s="15" t="s">
        <v>33</v>
      </c>
      <c r="D1017" s="16" t="s">
        <v>36</v>
      </c>
      <c r="E1017" s="50">
        <f>+SUM(J1009:J1015)</f>
        <v>997.44550000000004</v>
      </c>
      <c r="K1017" s="130"/>
    </row>
    <row r="1018" spans="2:18" ht="15.75" thickBot="1" x14ac:dyDescent="0.3">
      <c r="B1018" s="2" t="s">
        <v>35</v>
      </c>
      <c r="C1018" s="15" t="s">
        <v>33</v>
      </c>
      <c r="D1018" s="16" t="s">
        <v>39</v>
      </c>
      <c r="E1018" s="50">
        <f>SUM(M1009:M1015)</f>
        <v>187.93103123999998</v>
      </c>
      <c r="K1018" s="130"/>
    </row>
    <row r="1019" spans="2:18" ht="15.75" thickBot="1" x14ac:dyDescent="0.3">
      <c r="B1019" s="2" t="s">
        <v>37</v>
      </c>
      <c r="C1019" s="15" t="s">
        <v>370</v>
      </c>
      <c r="D1019" s="16" t="s">
        <v>14</v>
      </c>
      <c r="E1019" s="50">
        <f>SUM(N1009:N1015)</f>
        <v>101.4764926152</v>
      </c>
      <c r="K1019" s="130"/>
    </row>
    <row r="1020" spans="2:18" ht="15.75" thickBot="1" x14ac:dyDescent="0.3">
      <c r="B1020" s="18"/>
      <c r="C1020" s="18"/>
      <c r="D1020" s="16" t="s">
        <v>15</v>
      </c>
      <c r="E1020" s="50">
        <f>SUM(O1009:O1015)</f>
        <v>4383.5803613751996</v>
      </c>
      <c r="K1020" s="130"/>
    </row>
    <row r="1021" spans="2:18" x14ac:dyDescent="0.25">
      <c r="B1021" s="18"/>
      <c r="C1021" s="18"/>
    </row>
    <row r="1022" spans="2:18" x14ac:dyDescent="0.25">
      <c r="B1022" s="18"/>
      <c r="C1022" s="18"/>
    </row>
    <row r="1023" spans="2:18" x14ac:dyDescent="0.25">
      <c r="B1023" s="114" t="s">
        <v>399</v>
      </c>
      <c r="C1023" s="114"/>
      <c r="D1023" s="114"/>
      <c r="E1023" s="114"/>
      <c r="F1023" s="114"/>
      <c r="G1023" s="114"/>
      <c r="H1023" s="114"/>
      <c r="I1023" s="114"/>
      <c r="J1023" s="114"/>
      <c r="K1023" s="114"/>
      <c r="L1023" s="114"/>
      <c r="M1023" s="114"/>
      <c r="N1023" s="114"/>
      <c r="O1023" s="114"/>
    </row>
    <row r="1024" spans="2:18" x14ac:dyDescent="0.25">
      <c r="B1024" s="2" t="s">
        <v>48</v>
      </c>
      <c r="C1024" s="15" t="s">
        <v>33</v>
      </c>
      <c r="D1024" s="19" t="s">
        <v>16</v>
      </c>
      <c r="E1024" s="115" t="s">
        <v>152</v>
      </c>
      <c r="F1024" s="116"/>
      <c r="G1024" s="99" t="s">
        <v>150</v>
      </c>
      <c r="H1024" s="117" t="s">
        <v>49</v>
      </c>
      <c r="I1024" s="118"/>
      <c r="J1024" s="117" t="s">
        <v>151</v>
      </c>
      <c r="K1024" s="118"/>
      <c r="L1024" s="5" t="s">
        <v>50</v>
      </c>
      <c r="M1024" s="5" t="s">
        <v>51</v>
      </c>
      <c r="N1024" s="117" t="s">
        <v>155</v>
      </c>
      <c r="O1024" s="118"/>
    </row>
    <row r="1025" spans="1:18" x14ac:dyDescent="0.25">
      <c r="B1025" s="2" t="s">
        <v>52</v>
      </c>
      <c r="C1025" s="15" t="s">
        <v>33</v>
      </c>
      <c r="D1025" s="95" t="s">
        <v>166</v>
      </c>
      <c r="E1025" s="119" t="s">
        <v>463</v>
      </c>
      <c r="F1025" s="119"/>
      <c r="G1025" s="96">
        <v>731</v>
      </c>
      <c r="H1025" s="120" t="s">
        <v>14</v>
      </c>
      <c r="I1025" s="121"/>
      <c r="J1025" s="122">
        <v>1</v>
      </c>
      <c r="K1025" s="123"/>
      <c r="L1025" s="54">
        <f>+E1019*J1025</f>
        <v>101.4764926152</v>
      </c>
      <c r="M1025" s="131">
        <f>+L1025+L1026</f>
        <v>144.2975313028</v>
      </c>
      <c r="N1025" s="133">
        <f>+E1020-M1025</f>
        <v>4239.2828300723995</v>
      </c>
      <c r="O1025" s="134"/>
    </row>
    <row r="1026" spans="1:18" x14ac:dyDescent="0.25">
      <c r="B1026" s="2" t="s">
        <v>53</v>
      </c>
      <c r="C1026" s="15" t="s">
        <v>162</v>
      </c>
      <c r="D1026" s="95" t="s">
        <v>165</v>
      </c>
      <c r="E1026" s="119" t="s">
        <v>462</v>
      </c>
      <c r="F1026" s="119"/>
      <c r="G1026" s="96">
        <v>309</v>
      </c>
      <c r="H1026" s="120" t="s">
        <v>153</v>
      </c>
      <c r="I1026" s="121"/>
      <c r="J1026" s="122">
        <v>0.01</v>
      </c>
      <c r="K1026" s="123"/>
      <c r="L1026" s="54">
        <f>(E1017+E1016-E1018)*J1026</f>
        <v>42.821038687599994</v>
      </c>
      <c r="M1026" s="132"/>
      <c r="N1026" s="135"/>
      <c r="O1026" s="136"/>
    </row>
    <row r="1027" spans="1:18" x14ac:dyDescent="0.25">
      <c r="B1027" s="2" t="s">
        <v>55</v>
      </c>
      <c r="C1027" s="3" t="str">
        <f>+CONCATENATE(C1017,"-",C1018,"-",C1019)</f>
        <v>001-001-133</v>
      </c>
    </row>
    <row r="1028" spans="1:18" x14ac:dyDescent="0.25">
      <c r="B1028" s="2" t="s">
        <v>57</v>
      </c>
      <c r="C1028" s="21">
        <f>+C1016</f>
        <v>43511</v>
      </c>
    </row>
    <row r="1029" spans="1:18" x14ac:dyDescent="0.25">
      <c r="B1029" s="2" t="s">
        <v>86</v>
      </c>
      <c r="C1029" s="21" t="s">
        <v>87</v>
      </c>
      <c r="D1029" s="22"/>
      <c r="E1029" s="28" t="s">
        <v>279</v>
      </c>
      <c r="F1029" s="23"/>
      <c r="H1029" s="23"/>
      <c r="I1029" s="23"/>
      <c r="J1029" s="24"/>
      <c r="K1029" s="24"/>
      <c r="L1029" s="25"/>
      <c r="M1029" s="26"/>
      <c r="N1029" s="22"/>
      <c r="O1029" s="22"/>
    </row>
    <row r="1030" spans="1:18" x14ac:dyDescent="0.25">
      <c r="B1030" s="2" t="s">
        <v>59</v>
      </c>
      <c r="C1030" s="21" t="s">
        <v>88</v>
      </c>
      <c r="D1030" s="22"/>
      <c r="E1030" s="23"/>
      <c r="F1030" s="23"/>
      <c r="H1030" s="23"/>
      <c r="I1030" s="23"/>
      <c r="J1030" s="24"/>
      <c r="K1030" s="24"/>
      <c r="L1030" s="25"/>
      <c r="M1030" s="26"/>
      <c r="N1030" s="22"/>
      <c r="O1030" s="22"/>
    </row>
    <row r="1031" spans="1:18" x14ac:dyDescent="0.25">
      <c r="B1031" s="2" t="s">
        <v>60</v>
      </c>
      <c r="C1031" s="21" t="s">
        <v>89</v>
      </c>
      <c r="D1031" s="22"/>
      <c r="E1031" s="23"/>
      <c r="F1031" s="23"/>
      <c r="H1031" s="23"/>
      <c r="I1031" s="23"/>
      <c r="J1031" s="24"/>
      <c r="K1031" s="24"/>
      <c r="L1031" s="25"/>
      <c r="M1031" s="26"/>
      <c r="N1031" s="22"/>
      <c r="O1031" s="22"/>
    </row>
    <row r="1032" spans="1:18" x14ac:dyDescent="0.25">
      <c r="B1032" s="2" t="s">
        <v>61</v>
      </c>
      <c r="C1032" s="27">
        <f>+E1020-M1025</f>
        <v>4239.2828300723995</v>
      </c>
      <c r="D1032" s="22"/>
      <c r="E1032" s="28"/>
      <c r="G1032" s="23"/>
      <c r="H1032" s="24"/>
      <c r="I1032" s="24"/>
      <c r="J1032" s="24"/>
      <c r="K1032" s="25"/>
      <c r="L1032" s="26"/>
      <c r="M1032" s="22"/>
      <c r="N1032" s="22"/>
    </row>
    <row r="1035" spans="1:18" ht="26.25" x14ac:dyDescent="0.4">
      <c r="A1035" s="78" t="s">
        <v>302</v>
      </c>
      <c r="B1035" s="34" t="s">
        <v>94</v>
      </c>
      <c r="C1035" s="1" t="s">
        <v>444</v>
      </c>
      <c r="D1035" s="137" t="s">
        <v>304</v>
      </c>
      <c r="E1035" s="137"/>
      <c r="F1035" s="137"/>
    </row>
    <row r="1036" spans="1:18" x14ac:dyDescent="0.25">
      <c r="B1036" s="112" t="s">
        <v>398</v>
      </c>
      <c r="C1036" s="113"/>
      <c r="D1036" s="113"/>
      <c r="E1036" s="113"/>
      <c r="F1036" s="113"/>
      <c r="G1036" s="113"/>
      <c r="H1036" s="113"/>
      <c r="I1036" s="113"/>
      <c r="J1036" s="113"/>
      <c r="K1036" s="113"/>
      <c r="L1036" s="113"/>
      <c r="M1036" s="113"/>
      <c r="N1036" s="113"/>
      <c r="O1036" s="113"/>
      <c r="P1036" s="113"/>
      <c r="Q1036" s="113"/>
      <c r="R1036" s="113"/>
    </row>
    <row r="1037" spans="1:18" x14ac:dyDescent="0.25">
      <c r="B1037" s="2" t="s">
        <v>6</v>
      </c>
      <c r="C1037" s="3" t="s">
        <v>7</v>
      </c>
      <c r="D1037" s="100" t="s">
        <v>8</v>
      </c>
      <c r="E1037" s="5" t="s">
        <v>9</v>
      </c>
      <c r="F1037" s="5" t="s">
        <v>14</v>
      </c>
      <c r="G1037" s="5" t="s">
        <v>10</v>
      </c>
      <c r="H1037" s="5" t="s">
        <v>11</v>
      </c>
      <c r="I1037" s="5" t="s">
        <v>148</v>
      </c>
      <c r="J1037" s="5" t="s">
        <v>149</v>
      </c>
      <c r="K1037" s="5" t="s">
        <v>12</v>
      </c>
      <c r="L1037" s="5" t="s">
        <v>13</v>
      </c>
      <c r="M1037" s="5" t="s">
        <v>40</v>
      </c>
      <c r="N1037" s="5" t="s">
        <v>14</v>
      </c>
      <c r="O1037" s="5" t="s">
        <v>15</v>
      </c>
      <c r="P1037" s="5" t="s">
        <v>16</v>
      </c>
      <c r="Q1037" s="5" t="s">
        <v>17</v>
      </c>
      <c r="R1037" s="5" t="s">
        <v>18</v>
      </c>
    </row>
    <row r="1038" spans="1:18" x14ac:dyDescent="0.25">
      <c r="B1038" s="2" t="s">
        <v>19</v>
      </c>
      <c r="C1038" s="6" t="s">
        <v>20</v>
      </c>
      <c r="D1038" s="95">
        <v>48.26</v>
      </c>
      <c r="E1038" s="95" t="s">
        <v>107</v>
      </c>
      <c r="F1038" s="43">
        <v>0.12</v>
      </c>
      <c r="G1038" s="35" t="s">
        <v>108</v>
      </c>
      <c r="H1038" s="51">
        <v>1.26</v>
      </c>
      <c r="I1038" s="51">
        <f>+IF(F1038=0%,D1038*H1038,0)</f>
        <v>0</v>
      </c>
      <c r="J1038" s="51">
        <f>+IF(F1038=12%,D1038*H1038,0)</f>
        <v>60.807600000000001</v>
      </c>
      <c r="K1038" s="81">
        <v>0.28539999999999999</v>
      </c>
      <c r="L1038" s="53">
        <v>0</v>
      </c>
      <c r="M1038" s="53">
        <f>+J1038*K1038</f>
        <v>17.354489040000001</v>
      </c>
      <c r="N1038" s="53">
        <f>+(J1038-M1038)*F1038</f>
        <v>5.2143733152000005</v>
      </c>
      <c r="O1038" s="53">
        <f>+J1038-M1038+N1038</f>
        <v>48.667484275200003</v>
      </c>
      <c r="P1038" s="7" t="s">
        <v>45</v>
      </c>
      <c r="Q1038" s="7" t="s">
        <v>46</v>
      </c>
      <c r="R1038" s="7" t="s">
        <v>45</v>
      </c>
    </row>
    <row r="1039" spans="1:18" x14ac:dyDescent="0.25">
      <c r="B1039" s="2" t="s">
        <v>21</v>
      </c>
      <c r="C1039" s="15" t="s">
        <v>22</v>
      </c>
      <c r="D1039" s="95">
        <v>356.48</v>
      </c>
      <c r="E1039" s="95" t="s">
        <v>109</v>
      </c>
      <c r="F1039" s="43">
        <v>0.12</v>
      </c>
      <c r="G1039" s="35" t="s">
        <v>110</v>
      </c>
      <c r="H1039" s="51">
        <v>0.98</v>
      </c>
      <c r="I1039" s="51">
        <f t="shared" ref="I1039:I1044" si="5">+IF(F1039=0%,D1039*H1039,0)</f>
        <v>0</v>
      </c>
      <c r="J1039" s="51">
        <f t="shared" ref="J1039:J1044" si="6">+IF(F1039=12%,D1039*H1039,0)</f>
        <v>349.35040000000004</v>
      </c>
      <c r="K1039" s="81">
        <v>0</v>
      </c>
      <c r="L1039" s="53">
        <v>0</v>
      </c>
      <c r="M1039" s="53">
        <f>+J1039*K1039</f>
        <v>0</v>
      </c>
      <c r="N1039" s="53">
        <f>+(J1039-M1039)*F1039</f>
        <v>41.922048000000004</v>
      </c>
      <c r="O1039" s="53">
        <f>+J1039-M1039+N1039</f>
        <v>391.27244800000005</v>
      </c>
      <c r="P1039" s="7" t="s">
        <v>45</v>
      </c>
      <c r="Q1039" s="95" t="s">
        <v>46</v>
      </c>
      <c r="R1039" s="7" t="s">
        <v>45</v>
      </c>
    </row>
    <row r="1040" spans="1:18" ht="30" x14ac:dyDescent="0.25">
      <c r="B1040" s="2" t="s">
        <v>23</v>
      </c>
      <c r="C1040" s="30" t="s">
        <v>70</v>
      </c>
      <c r="D1040" s="95">
        <v>277.83</v>
      </c>
      <c r="E1040" s="95" t="s">
        <v>111</v>
      </c>
      <c r="F1040" s="43">
        <v>0.12</v>
      </c>
      <c r="G1040" s="35" t="s">
        <v>112</v>
      </c>
      <c r="H1040" s="51">
        <v>1.25</v>
      </c>
      <c r="I1040" s="51">
        <f t="shared" si="5"/>
        <v>0</v>
      </c>
      <c r="J1040" s="51">
        <f t="shared" si="6"/>
        <v>347.28749999999997</v>
      </c>
      <c r="K1040" s="81">
        <v>0.35260000000000002</v>
      </c>
      <c r="L1040" s="53">
        <v>0</v>
      </c>
      <c r="M1040" s="53">
        <f>+J1040*K1040</f>
        <v>122.45357249999999</v>
      </c>
      <c r="N1040" s="53">
        <f>+(J1040-M1040)*F1040</f>
        <v>26.980071299999995</v>
      </c>
      <c r="O1040" s="53">
        <f>+J1040-M1040+N1040</f>
        <v>251.81399879999995</v>
      </c>
      <c r="P1040" s="7" t="s">
        <v>45</v>
      </c>
      <c r="Q1040" s="95" t="s">
        <v>46</v>
      </c>
      <c r="R1040" s="7" t="s">
        <v>45</v>
      </c>
    </row>
    <row r="1041" spans="2:18" x14ac:dyDescent="0.25">
      <c r="B1041" s="2" t="s">
        <v>26</v>
      </c>
      <c r="C1041" s="12" t="s">
        <v>71</v>
      </c>
      <c r="D1041" s="95">
        <v>1925.36</v>
      </c>
      <c r="E1041" s="95" t="s">
        <v>287</v>
      </c>
      <c r="F1041" s="43">
        <v>0</v>
      </c>
      <c r="G1041" s="35" t="s">
        <v>292</v>
      </c>
      <c r="H1041" s="51">
        <v>0.87</v>
      </c>
      <c r="I1041" s="51">
        <f t="shared" si="5"/>
        <v>1675.0631999999998</v>
      </c>
      <c r="J1041" s="51">
        <f t="shared" si="6"/>
        <v>0</v>
      </c>
      <c r="K1041" s="81">
        <v>0</v>
      </c>
      <c r="L1041" s="53">
        <v>0</v>
      </c>
      <c r="M1041" s="53">
        <f>+I1041*K1041</f>
        <v>0</v>
      </c>
      <c r="N1041" s="53">
        <f>+(I1041-M1041)*F1041</f>
        <v>0</v>
      </c>
      <c r="O1041" s="53">
        <f>+I1041-M1041</f>
        <v>1675.0631999999998</v>
      </c>
      <c r="P1041" s="7" t="s">
        <v>45</v>
      </c>
      <c r="Q1041" s="95" t="s">
        <v>46</v>
      </c>
      <c r="R1041" s="7" t="s">
        <v>45</v>
      </c>
    </row>
    <row r="1042" spans="2:18" x14ac:dyDescent="0.25">
      <c r="B1042" s="2" t="s">
        <v>27</v>
      </c>
      <c r="C1042" s="3" t="s">
        <v>28</v>
      </c>
      <c r="D1042" s="95">
        <v>14.26</v>
      </c>
      <c r="E1042" s="95" t="s">
        <v>288</v>
      </c>
      <c r="F1042" s="43">
        <v>0</v>
      </c>
      <c r="G1042" s="35" t="s">
        <v>293</v>
      </c>
      <c r="H1042" s="10">
        <v>7.86</v>
      </c>
      <c r="I1042" s="10">
        <f t="shared" si="5"/>
        <v>112.0836</v>
      </c>
      <c r="J1042" s="10">
        <f t="shared" si="6"/>
        <v>0</v>
      </c>
      <c r="K1042" s="81">
        <v>0.28770000000000001</v>
      </c>
      <c r="L1042" s="53">
        <v>0</v>
      </c>
      <c r="M1042" s="53">
        <f>+I1042*K1042</f>
        <v>32.246451720000003</v>
      </c>
      <c r="N1042" s="53">
        <f>+(I1042-M1042)*F1042</f>
        <v>0</v>
      </c>
      <c r="O1042" s="53">
        <f>+I1042-M1042</f>
        <v>79.837148280000008</v>
      </c>
      <c r="P1042" s="7" t="s">
        <v>45</v>
      </c>
      <c r="Q1042" s="95" t="s">
        <v>46</v>
      </c>
      <c r="R1042" s="7" t="s">
        <v>45</v>
      </c>
    </row>
    <row r="1043" spans="2:18" x14ac:dyDescent="0.25">
      <c r="B1043" s="2" t="s">
        <v>29</v>
      </c>
      <c r="C1043" s="3">
        <v>1</v>
      </c>
      <c r="D1043" s="95">
        <v>787.59</v>
      </c>
      <c r="E1043" s="95" t="s">
        <v>289</v>
      </c>
      <c r="F1043" s="43">
        <v>0</v>
      </c>
      <c r="G1043" s="35" t="s">
        <v>294</v>
      </c>
      <c r="H1043" s="10">
        <v>2.14</v>
      </c>
      <c r="I1043" s="10">
        <f t="shared" si="5"/>
        <v>1685.4426000000001</v>
      </c>
      <c r="J1043" s="10">
        <f t="shared" si="6"/>
        <v>0</v>
      </c>
      <c r="K1043" s="81">
        <v>2.3E-3</v>
      </c>
      <c r="L1043" s="53">
        <v>0</v>
      </c>
      <c r="M1043" s="53">
        <f>+I1043*K1043</f>
        <v>3.87651798</v>
      </c>
      <c r="N1043" s="53">
        <f>+(I1043-M1043)*F1043</f>
        <v>0</v>
      </c>
      <c r="O1043" s="53">
        <f>+I1043-M1043</f>
        <v>1681.5660820200001</v>
      </c>
      <c r="P1043" s="7" t="s">
        <v>45</v>
      </c>
      <c r="Q1043" s="95" t="s">
        <v>46</v>
      </c>
      <c r="R1043" s="7" t="s">
        <v>45</v>
      </c>
    </row>
    <row r="1044" spans="2:18" ht="15.75" thickBot="1" x14ac:dyDescent="0.3">
      <c r="B1044" s="2" t="s">
        <v>30</v>
      </c>
      <c r="C1044" s="7">
        <v>1120335551</v>
      </c>
      <c r="D1044" s="80">
        <v>1</v>
      </c>
      <c r="E1044" s="95" t="s">
        <v>429</v>
      </c>
      <c r="F1044" s="43">
        <v>0.12</v>
      </c>
      <c r="G1044" s="95" t="s">
        <v>115</v>
      </c>
      <c r="H1044" s="10">
        <v>240</v>
      </c>
      <c r="I1044" s="10">
        <f t="shared" si="5"/>
        <v>0</v>
      </c>
      <c r="J1044" s="10">
        <f t="shared" si="6"/>
        <v>240</v>
      </c>
      <c r="K1044" s="82">
        <v>0.05</v>
      </c>
      <c r="L1044" s="53">
        <v>0</v>
      </c>
      <c r="M1044" s="53">
        <f>+J1044*K1044</f>
        <v>12</v>
      </c>
      <c r="N1044" s="53">
        <f>+(J1044-M1044)*F1044</f>
        <v>27.36</v>
      </c>
      <c r="O1044" s="53">
        <f>+J1044-M1044+N1044</f>
        <v>255.36</v>
      </c>
      <c r="P1044" s="35" t="s">
        <v>275</v>
      </c>
      <c r="Q1044" s="95" t="s">
        <v>274</v>
      </c>
      <c r="R1044" s="7" t="s">
        <v>25</v>
      </c>
    </row>
    <row r="1045" spans="2:18" ht="15.75" thickBot="1" x14ac:dyDescent="0.3">
      <c r="B1045" s="2" t="s">
        <v>31</v>
      </c>
      <c r="C1045" s="14">
        <v>43511</v>
      </c>
      <c r="D1045" s="16" t="s">
        <v>34</v>
      </c>
      <c r="E1045" s="40">
        <f>+SUM(I1038:I1044)</f>
        <v>3472.5893999999998</v>
      </c>
      <c r="K1045" s="130" t="s">
        <v>305</v>
      </c>
    </row>
    <row r="1046" spans="2:18" ht="15.75" thickBot="1" x14ac:dyDescent="0.3">
      <c r="B1046" s="2" t="s">
        <v>32</v>
      </c>
      <c r="C1046" s="15" t="s">
        <v>33</v>
      </c>
      <c r="D1046" s="16" t="s">
        <v>36</v>
      </c>
      <c r="E1046" s="17">
        <f>+SUM(J1038:J1044)</f>
        <v>997.44550000000004</v>
      </c>
      <c r="K1046" s="130"/>
    </row>
    <row r="1047" spans="2:18" ht="15.75" thickBot="1" x14ac:dyDescent="0.3">
      <c r="B1047" s="2" t="s">
        <v>35</v>
      </c>
      <c r="C1047" s="15" t="s">
        <v>33</v>
      </c>
      <c r="D1047" s="16" t="s">
        <v>39</v>
      </c>
      <c r="E1047" s="17">
        <f>SUM(M1038:M1044)</f>
        <v>187.93103123999998</v>
      </c>
      <c r="K1047" s="130"/>
    </row>
    <row r="1048" spans="2:18" ht="15.75" thickBot="1" x14ac:dyDescent="0.3">
      <c r="B1048" s="2" t="s">
        <v>37</v>
      </c>
      <c r="C1048" s="15" t="s">
        <v>371</v>
      </c>
      <c r="D1048" s="16" t="s">
        <v>14</v>
      </c>
      <c r="E1048" s="17">
        <f>SUM(N1038:N1044)</f>
        <v>101.4764926152</v>
      </c>
      <c r="K1048" s="130"/>
    </row>
    <row r="1049" spans="2:18" ht="15.75" thickBot="1" x14ac:dyDescent="0.3">
      <c r="B1049" s="18"/>
      <c r="C1049" s="18"/>
      <c r="D1049" s="16" t="s">
        <v>15</v>
      </c>
      <c r="E1049" s="17">
        <f>SUM(O1038:O1044)</f>
        <v>4383.5803613751996</v>
      </c>
      <c r="K1049" s="130"/>
    </row>
    <row r="1051" spans="2:18" x14ac:dyDescent="0.25">
      <c r="B1051" s="114" t="s">
        <v>399</v>
      </c>
      <c r="C1051" s="114"/>
      <c r="D1051" s="114"/>
      <c r="E1051" s="114"/>
      <c r="F1051" s="114"/>
      <c r="G1051" s="114"/>
      <c r="H1051" s="114"/>
      <c r="I1051" s="114"/>
      <c r="J1051" s="114"/>
      <c r="K1051" s="114"/>
      <c r="L1051" s="114"/>
      <c r="M1051" s="114"/>
      <c r="N1051" s="114"/>
      <c r="O1051" s="114"/>
    </row>
    <row r="1052" spans="2:18" x14ac:dyDescent="0.25">
      <c r="B1052" s="2" t="s">
        <v>48</v>
      </c>
      <c r="C1052" s="15" t="s">
        <v>33</v>
      </c>
      <c r="D1052" s="19" t="s">
        <v>16</v>
      </c>
      <c r="E1052" s="115" t="s">
        <v>152</v>
      </c>
      <c r="F1052" s="116"/>
      <c r="G1052" s="99" t="s">
        <v>150</v>
      </c>
      <c r="H1052" s="117" t="s">
        <v>49</v>
      </c>
      <c r="I1052" s="118"/>
      <c r="J1052" s="117" t="s">
        <v>151</v>
      </c>
      <c r="K1052" s="118"/>
      <c r="L1052" s="5" t="s">
        <v>50</v>
      </c>
      <c r="M1052" s="5" t="s">
        <v>51</v>
      </c>
      <c r="N1052" s="117" t="s">
        <v>155</v>
      </c>
      <c r="O1052" s="118"/>
    </row>
    <row r="1053" spans="2:18" x14ac:dyDescent="0.25">
      <c r="B1053" s="2" t="s">
        <v>52</v>
      </c>
      <c r="C1053" s="15" t="s">
        <v>33</v>
      </c>
      <c r="D1053" s="95" t="s">
        <v>179</v>
      </c>
      <c r="E1053" s="119" t="s">
        <v>469</v>
      </c>
      <c r="F1053" s="119"/>
      <c r="G1053" s="96">
        <v>727</v>
      </c>
      <c r="H1053" s="120" t="s">
        <v>14</v>
      </c>
      <c r="I1053" s="121"/>
      <c r="J1053" s="122">
        <v>0.5</v>
      </c>
      <c r="K1053" s="123"/>
      <c r="L1053" s="20">
        <f>+E1048*J1053</f>
        <v>50.738246307600001</v>
      </c>
      <c r="M1053" s="124">
        <f>+L1053+L1054</f>
        <v>136.3803236828</v>
      </c>
      <c r="N1053" s="126">
        <f>+E1049-M1053</f>
        <v>4247.2000376923997</v>
      </c>
      <c r="O1053" s="127"/>
    </row>
    <row r="1054" spans="2:18" x14ac:dyDescent="0.25">
      <c r="B1054" s="2" t="s">
        <v>53</v>
      </c>
      <c r="C1054" s="15" t="s">
        <v>163</v>
      </c>
      <c r="D1054" s="95" t="s">
        <v>175</v>
      </c>
      <c r="E1054" s="119" t="s">
        <v>468</v>
      </c>
      <c r="F1054" s="119"/>
      <c r="G1054" s="96">
        <v>344</v>
      </c>
      <c r="H1054" s="120" t="s">
        <v>153</v>
      </c>
      <c r="I1054" s="121"/>
      <c r="J1054" s="122">
        <v>0.02</v>
      </c>
      <c r="K1054" s="123"/>
      <c r="L1054" s="20">
        <f>(E1046+E1045-E1047)*J1054</f>
        <v>85.642077375199989</v>
      </c>
      <c r="M1054" s="125"/>
      <c r="N1054" s="128"/>
      <c r="O1054" s="129"/>
    </row>
    <row r="1055" spans="2:18" x14ac:dyDescent="0.25">
      <c r="B1055" s="2" t="s">
        <v>55</v>
      </c>
      <c r="C1055" s="3" t="str">
        <f>+CONCATENATE(C1046,"-",C1047,"-",C1048)</f>
        <v>001-001-134</v>
      </c>
    </row>
    <row r="1056" spans="2:18" x14ac:dyDescent="0.25">
      <c r="B1056" s="2" t="s">
        <v>57</v>
      </c>
      <c r="C1056" s="21">
        <f>+C1045</f>
        <v>43511</v>
      </c>
    </row>
    <row r="1057" spans="1:18" x14ac:dyDescent="0.25">
      <c r="B1057" s="2" t="s">
        <v>86</v>
      </c>
      <c r="C1057" s="21" t="s">
        <v>87</v>
      </c>
      <c r="E1057" s="31" t="s">
        <v>279</v>
      </c>
    </row>
    <row r="1058" spans="1:18" x14ac:dyDescent="0.25">
      <c r="B1058" s="2" t="s">
        <v>59</v>
      </c>
      <c r="C1058" s="21" t="s">
        <v>90</v>
      </c>
    </row>
    <row r="1059" spans="1:18" x14ac:dyDescent="0.25">
      <c r="B1059" s="2" t="s">
        <v>60</v>
      </c>
      <c r="C1059" s="21" t="s">
        <v>91</v>
      </c>
    </row>
    <row r="1060" spans="1:18" x14ac:dyDescent="0.25">
      <c r="B1060" s="2" t="s">
        <v>61</v>
      </c>
      <c r="C1060" s="27">
        <f>+E1049-M1053</f>
        <v>4247.2000376923997</v>
      </c>
    </row>
    <row r="1063" spans="1:18" ht="26.25" x14ac:dyDescent="0.4">
      <c r="A1063" s="88" t="s">
        <v>311</v>
      </c>
      <c r="B1063" s="34" t="s">
        <v>140</v>
      </c>
      <c r="C1063" s="93" t="s">
        <v>445</v>
      </c>
      <c r="D1063" s="137" t="s">
        <v>312</v>
      </c>
      <c r="E1063" s="137"/>
      <c r="F1063" s="137"/>
    </row>
    <row r="1064" spans="1:18" x14ac:dyDescent="0.25">
      <c r="B1064" s="112" t="s">
        <v>398</v>
      </c>
      <c r="C1064" s="113"/>
      <c r="D1064" s="113"/>
      <c r="E1064" s="113"/>
      <c r="F1064" s="113"/>
      <c r="G1064" s="113"/>
      <c r="H1064" s="113"/>
      <c r="I1064" s="113"/>
      <c r="J1064" s="113"/>
      <c r="K1064" s="113"/>
      <c r="L1064" s="113"/>
      <c r="M1064" s="113"/>
      <c r="N1064" s="113"/>
      <c r="O1064" s="113"/>
      <c r="P1064" s="113"/>
      <c r="Q1064" s="113"/>
      <c r="R1064" s="113"/>
    </row>
    <row r="1065" spans="1:18" x14ac:dyDescent="0.25">
      <c r="B1065" s="2" t="s">
        <v>6</v>
      </c>
      <c r="C1065" s="3" t="s">
        <v>67</v>
      </c>
      <c r="D1065" s="100" t="s">
        <v>8</v>
      </c>
      <c r="E1065" s="5" t="s">
        <v>9</v>
      </c>
      <c r="F1065" s="5" t="s">
        <v>14</v>
      </c>
      <c r="G1065" s="5" t="s">
        <v>10</v>
      </c>
      <c r="H1065" s="5" t="s">
        <v>11</v>
      </c>
      <c r="I1065" s="5" t="s">
        <v>148</v>
      </c>
      <c r="J1065" s="5" t="s">
        <v>149</v>
      </c>
      <c r="K1065" s="5" t="s">
        <v>12</v>
      </c>
      <c r="L1065" s="5" t="s">
        <v>13</v>
      </c>
      <c r="M1065" s="5" t="s">
        <v>40</v>
      </c>
      <c r="N1065" s="5" t="s">
        <v>14</v>
      </c>
      <c r="O1065" s="5" t="s">
        <v>15</v>
      </c>
      <c r="P1065" s="5" t="s">
        <v>16</v>
      </c>
      <c r="Q1065" s="5" t="s">
        <v>17</v>
      </c>
      <c r="R1065" s="5" t="s">
        <v>18</v>
      </c>
    </row>
    <row r="1066" spans="1:18" x14ac:dyDescent="0.25">
      <c r="B1066" s="2" t="s">
        <v>19</v>
      </c>
      <c r="C1066" s="15" t="s">
        <v>68</v>
      </c>
      <c r="D1066" s="95">
        <v>400</v>
      </c>
      <c r="E1066" s="95" t="s">
        <v>446</v>
      </c>
      <c r="F1066" s="43">
        <v>0.12</v>
      </c>
      <c r="G1066" s="7" t="s">
        <v>79</v>
      </c>
      <c r="H1066" s="51">
        <v>0.14000000000000001</v>
      </c>
      <c r="I1066" s="51">
        <f>+IF(F1066=0%,D1066*H1066,0)</f>
        <v>0</v>
      </c>
      <c r="J1066" s="51">
        <f>+IF(F1066=12%,D1066*H1066,0)</f>
        <v>56.000000000000007</v>
      </c>
      <c r="K1066" s="85">
        <f>+L1066*100/J1066</f>
        <v>10.714285714285714</v>
      </c>
      <c r="L1066" s="86">
        <v>6</v>
      </c>
      <c r="M1066" s="53">
        <f>+L1066</f>
        <v>6</v>
      </c>
      <c r="N1066" s="53">
        <f t="shared" ref="N1066:N1072" si="7">+(J1066-M1066)*F1066</f>
        <v>6.0000000000000009</v>
      </c>
      <c r="O1066" s="53">
        <f>+J1066-M1066+N1066</f>
        <v>56.000000000000007</v>
      </c>
      <c r="P1066" s="7" t="s">
        <v>301</v>
      </c>
      <c r="Q1066" s="95" t="s">
        <v>81</v>
      </c>
      <c r="R1066" s="7" t="s">
        <v>25</v>
      </c>
    </row>
    <row r="1067" spans="1:18" x14ac:dyDescent="0.25">
      <c r="B1067" s="2" t="s">
        <v>21</v>
      </c>
      <c r="C1067" s="15" t="s">
        <v>22</v>
      </c>
      <c r="D1067" s="95">
        <v>28</v>
      </c>
      <c r="E1067" s="95" t="s">
        <v>447</v>
      </c>
      <c r="F1067" s="43">
        <v>0.12</v>
      </c>
      <c r="G1067" s="7" t="s">
        <v>82</v>
      </c>
      <c r="H1067" s="51">
        <v>4.59</v>
      </c>
      <c r="I1067" s="51">
        <f t="shared" ref="I1067:I1072" si="8">+IF(F1067=0%,D1067*H1067,0)</f>
        <v>0</v>
      </c>
      <c r="J1067" s="51">
        <f t="shared" ref="J1067:J1072" si="9">+IF(F1067=12%,D1067*H1067,0)</f>
        <v>128.51999999999998</v>
      </c>
      <c r="K1067" s="85">
        <f t="shared" ref="K1067:K1072" si="10">+L1067*100/J1067</f>
        <v>21.786492374727672</v>
      </c>
      <c r="L1067" s="86">
        <v>28</v>
      </c>
      <c r="M1067" s="53">
        <f t="shared" ref="M1067:M1072" si="11">+L1067</f>
        <v>28</v>
      </c>
      <c r="N1067" s="53">
        <f t="shared" si="7"/>
        <v>12.062399999999997</v>
      </c>
      <c r="O1067" s="53">
        <f>+J1067-M1067+N1067</f>
        <v>112.58239999999998</v>
      </c>
      <c r="P1067" s="7" t="s">
        <v>301</v>
      </c>
      <c r="Q1067" s="95" t="s">
        <v>81</v>
      </c>
      <c r="R1067" s="7" t="s">
        <v>25</v>
      </c>
    </row>
    <row r="1068" spans="1:18" ht="30" x14ac:dyDescent="0.25">
      <c r="B1068" s="2" t="s">
        <v>23</v>
      </c>
      <c r="C1068" s="30" t="s">
        <v>70</v>
      </c>
      <c r="D1068" s="95">
        <v>24</v>
      </c>
      <c r="E1068" s="95" t="s">
        <v>448</v>
      </c>
      <c r="F1068" s="43">
        <v>0.12</v>
      </c>
      <c r="G1068" s="7" t="s">
        <v>83</v>
      </c>
      <c r="H1068" s="51">
        <v>2.15</v>
      </c>
      <c r="I1068" s="51">
        <f t="shared" si="8"/>
        <v>0</v>
      </c>
      <c r="J1068" s="51">
        <f t="shared" si="9"/>
        <v>51.599999999999994</v>
      </c>
      <c r="K1068" s="85">
        <f t="shared" si="10"/>
        <v>1.1627906976744187</v>
      </c>
      <c r="L1068" s="86">
        <v>0.6</v>
      </c>
      <c r="M1068" s="53">
        <f t="shared" si="11"/>
        <v>0.6</v>
      </c>
      <c r="N1068" s="53">
        <f t="shared" si="7"/>
        <v>6.1199999999999992</v>
      </c>
      <c r="O1068" s="53">
        <f>+J1068-M1068+N1068</f>
        <v>57.11999999999999</v>
      </c>
      <c r="P1068" s="7" t="s">
        <v>301</v>
      </c>
      <c r="Q1068" s="95" t="s">
        <v>81</v>
      </c>
      <c r="R1068" s="7" t="s">
        <v>25</v>
      </c>
    </row>
    <row r="1069" spans="1:18" x14ac:dyDescent="0.25">
      <c r="B1069" s="2" t="s">
        <v>26</v>
      </c>
      <c r="C1069" s="12" t="s">
        <v>71</v>
      </c>
      <c r="D1069" s="95">
        <v>125</v>
      </c>
      <c r="E1069" s="95"/>
      <c r="F1069" s="43">
        <v>0</v>
      </c>
      <c r="G1069" s="7" t="s">
        <v>298</v>
      </c>
      <c r="H1069" s="51">
        <v>0.38</v>
      </c>
      <c r="I1069" s="51">
        <f t="shared" si="8"/>
        <v>47.5</v>
      </c>
      <c r="J1069" s="51">
        <f t="shared" si="9"/>
        <v>0</v>
      </c>
      <c r="K1069" s="85">
        <f>+L1069*100/I1069</f>
        <v>15.789473684210526</v>
      </c>
      <c r="L1069" s="86">
        <v>7.5</v>
      </c>
      <c r="M1069" s="53">
        <f t="shared" si="11"/>
        <v>7.5</v>
      </c>
      <c r="N1069" s="53">
        <f t="shared" si="7"/>
        <v>0</v>
      </c>
      <c r="O1069" s="53">
        <f>+I1069-M1069+N1069</f>
        <v>40</v>
      </c>
      <c r="P1069" s="7" t="s">
        <v>301</v>
      </c>
      <c r="Q1069" s="95" t="s">
        <v>81</v>
      </c>
      <c r="R1069" s="7" t="s">
        <v>25</v>
      </c>
    </row>
    <row r="1070" spans="1:18" x14ac:dyDescent="0.25">
      <c r="B1070" s="2" t="s">
        <v>27</v>
      </c>
      <c r="C1070" s="3" t="s">
        <v>28</v>
      </c>
      <c r="D1070" s="95">
        <v>750</v>
      </c>
      <c r="E1070" s="95"/>
      <c r="F1070" s="43">
        <v>0</v>
      </c>
      <c r="G1070" s="7" t="s">
        <v>299</v>
      </c>
      <c r="H1070" s="51">
        <v>0.08</v>
      </c>
      <c r="I1070" s="51">
        <f t="shared" si="8"/>
        <v>60</v>
      </c>
      <c r="J1070" s="51">
        <f t="shared" si="9"/>
        <v>0</v>
      </c>
      <c r="K1070" s="85">
        <f>+L1070*100/I1070</f>
        <v>20</v>
      </c>
      <c r="L1070" s="86">
        <v>12</v>
      </c>
      <c r="M1070" s="53">
        <f t="shared" si="11"/>
        <v>12</v>
      </c>
      <c r="N1070" s="53">
        <f t="shared" si="7"/>
        <v>0</v>
      </c>
      <c r="O1070" s="53">
        <f>+I1070-M1070+N1070</f>
        <v>48</v>
      </c>
      <c r="P1070" s="7" t="s">
        <v>301</v>
      </c>
      <c r="Q1070" s="95" t="s">
        <v>81</v>
      </c>
      <c r="R1070" s="7" t="s">
        <v>25</v>
      </c>
    </row>
    <row r="1071" spans="1:18" x14ac:dyDescent="0.25">
      <c r="B1071" s="2" t="s">
        <v>29</v>
      </c>
      <c r="C1071" s="3">
        <v>1</v>
      </c>
      <c r="D1071" s="95">
        <v>1200</v>
      </c>
      <c r="E1071" s="95"/>
      <c r="F1071" s="43">
        <v>0</v>
      </c>
      <c r="G1071" s="7" t="s">
        <v>300</v>
      </c>
      <c r="H1071" s="83">
        <v>0.03</v>
      </c>
      <c r="I1071" s="83">
        <f t="shared" si="8"/>
        <v>36</v>
      </c>
      <c r="J1071" s="83">
        <f t="shared" si="9"/>
        <v>0</v>
      </c>
      <c r="K1071" s="85">
        <f>+L1071*100/I1071</f>
        <v>100</v>
      </c>
      <c r="L1071" s="87">
        <v>36</v>
      </c>
      <c r="M1071" s="53">
        <f t="shared" si="11"/>
        <v>36</v>
      </c>
      <c r="N1071" s="84">
        <f t="shared" si="7"/>
        <v>0</v>
      </c>
      <c r="O1071" s="53">
        <f>+I1071-M1071+N1071</f>
        <v>0</v>
      </c>
      <c r="P1071" s="7" t="s">
        <v>301</v>
      </c>
      <c r="Q1071" s="95" t="s">
        <v>81</v>
      </c>
      <c r="R1071" s="7" t="s">
        <v>25</v>
      </c>
    </row>
    <row r="1072" spans="1:18" x14ac:dyDescent="0.25">
      <c r="B1072" s="2" t="s">
        <v>30</v>
      </c>
      <c r="C1072" s="7">
        <v>1122728319</v>
      </c>
      <c r="D1072" s="95">
        <v>786.37</v>
      </c>
      <c r="E1072" s="95" t="s">
        <v>111</v>
      </c>
      <c r="F1072" s="43">
        <v>0.12</v>
      </c>
      <c r="G1072" s="7" t="s">
        <v>112</v>
      </c>
      <c r="H1072" s="84">
        <v>0.89</v>
      </c>
      <c r="I1072" s="84">
        <f t="shared" si="8"/>
        <v>0</v>
      </c>
      <c r="J1072" s="53">
        <f t="shared" si="9"/>
        <v>699.86930000000007</v>
      </c>
      <c r="K1072" s="85">
        <f t="shared" si="10"/>
        <v>21.122515303928893</v>
      </c>
      <c r="L1072" s="86">
        <v>147.83000000000001</v>
      </c>
      <c r="M1072" s="53">
        <f t="shared" si="11"/>
        <v>147.83000000000001</v>
      </c>
      <c r="N1072" s="53">
        <f t="shared" si="7"/>
        <v>66.244715999999997</v>
      </c>
      <c r="O1072" s="53">
        <f>+J1072-M1072+N1072</f>
        <v>618.28401600000007</v>
      </c>
      <c r="P1072" s="7" t="s">
        <v>45</v>
      </c>
      <c r="Q1072" s="95" t="s">
        <v>46</v>
      </c>
      <c r="R1072" s="7" t="s">
        <v>45</v>
      </c>
    </row>
    <row r="1073" spans="2:15" ht="15.75" thickBot="1" x14ac:dyDescent="0.3">
      <c r="B1073" s="2" t="s">
        <v>31</v>
      </c>
      <c r="C1073" s="14">
        <v>43511</v>
      </c>
      <c r="D1073" s="39" t="s">
        <v>34</v>
      </c>
      <c r="E1073" s="40">
        <f>+SUM(I1066:I1072)</f>
        <v>143.5</v>
      </c>
      <c r="L1073" s="130" t="s">
        <v>310</v>
      </c>
    </row>
    <row r="1074" spans="2:15" ht="15.75" thickBot="1" x14ac:dyDescent="0.3">
      <c r="B1074" s="2" t="s">
        <v>32</v>
      </c>
      <c r="C1074" s="15" t="s">
        <v>33</v>
      </c>
      <c r="D1074" s="16" t="s">
        <v>36</v>
      </c>
      <c r="E1074" s="17">
        <f>+SUM(J1066:J1072)</f>
        <v>935.98930000000007</v>
      </c>
      <c r="L1074" s="130"/>
    </row>
    <row r="1075" spans="2:15" ht="15.75" thickBot="1" x14ac:dyDescent="0.3">
      <c r="B1075" s="2" t="s">
        <v>35</v>
      </c>
      <c r="C1075" s="15" t="s">
        <v>33</v>
      </c>
      <c r="D1075" s="16" t="s">
        <v>39</v>
      </c>
      <c r="E1075" s="17">
        <f>SUM(M1066:M1072)</f>
        <v>237.93</v>
      </c>
      <c r="L1075" s="130"/>
    </row>
    <row r="1076" spans="2:15" ht="15.75" thickBot="1" x14ac:dyDescent="0.3">
      <c r="B1076" s="2" t="s">
        <v>37</v>
      </c>
      <c r="C1076" s="15" t="s">
        <v>372</v>
      </c>
      <c r="D1076" s="16" t="s">
        <v>14</v>
      </c>
      <c r="E1076" s="17">
        <f>SUM(N1066:N1072)</f>
        <v>90.427115999999984</v>
      </c>
      <c r="L1076" s="130"/>
    </row>
    <row r="1077" spans="2:15" ht="15.75" thickBot="1" x14ac:dyDescent="0.3">
      <c r="B1077" s="18"/>
      <c r="C1077" s="18"/>
      <c r="D1077" s="16" t="s">
        <v>15</v>
      </c>
      <c r="E1077" s="17">
        <f>SUM(O1066:O1072)</f>
        <v>931.98641599999996</v>
      </c>
      <c r="L1077" s="130"/>
    </row>
    <row r="1078" spans="2:15" x14ac:dyDescent="0.25">
      <c r="B1078" s="18"/>
      <c r="C1078" s="18"/>
    </row>
    <row r="1079" spans="2:15" x14ac:dyDescent="0.25">
      <c r="B1079" s="18"/>
      <c r="C1079" s="18"/>
    </row>
    <row r="1080" spans="2:15" x14ac:dyDescent="0.25">
      <c r="B1080" s="114" t="s">
        <v>399</v>
      </c>
      <c r="C1080" s="114"/>
      <c r="D1080" s="114"/>
      <c r="E1080" s="114"/>
      <c r="F1080" s="114"/>
      <c r="G1080" s="114"/>
      <c r="H1080" s="114"/>
      <c r="I1080" s="114"/>
      <c r="J1080" s="114"/>
      <c r="K1080" s="114"/>
      <c r="L1080" s="114"/>
      <c r="M1080" s="114"/>
      <c r="N1080" s="114"/>
      <c r="O1080" s="114"/>
    </row>
    <row r="1081" spans="2:15" x14ac:dyDescent="0.25">
      <c r="B1081" s="2" t="s">
        <v>48</v>
      </c>
      <c r="C1081" s="33" t="s">
        <v>33</v>
      </c>
      <c r="D1081" s="19" t="s">
        <v>16</v>
      </c>
      <c r="E1081" s="115" t="s">
        <v>152</v>
      </c>
      <c r="F1081" s="116"/>
      <c r="G1081" s="99" t="s">
        <v>150</v>
      </c>
      <c r="H1081" s="117" t="s">
        <v>49</v>
      </c>
      <c r="I1081" s="118"/>
      <c r="J1081" s="117" t="s">
        <v>151</v>
      </c>
      <c r="K1081" s="118"/>
      <c r="L1081" s="5" t="s">
        <v>50</v>
      </c>
      <c r="M1081" s="5" t="s">
        <v>51</v>
      </c>
      <c r="N1081" s="117" t="s">
        <v>155</v>
      </c>
      <c r="O1081" s="118"/>
    </row>
    <row r="1082" spans="2:15" x14ac:dyDescent="0.25">
      <c r="B1082" s="2" t="s">
        <v>52</v>
      </c>
      <c r="C1082" s="15" t="s">
        <v>33</v>
      </c>
      <c r="D1082" s="95" t="s">
        <v>173</v>
      </c>
      <c r="E1082" s="119" t="s">
        <v>470</v>
      </c>
      <c r="F1082" s="119"/>
      <c r="G1082" s="96">
        <v>729</v>
      </c>
      <c r="H1082" s="120" t="s">
        <v>14</v>
      </c>
      <c r="I1082" s="121"/>
      <c r="J1082" s="122">
        <v>0.7</v>
      </c>
      <c r="K1082" s="123"/>
      <c r="L1082" s="20">
        <f>+E1076*J1082</f>
        <v>63.298981199999986</v>
      </c>
      <c r="M1082" s="124">
        <f>+L1082+L1083</f>
        <v>71.714574199999987</v>
      </c>
      <c r="N1082" s="126">
        <f>+E1077-M1082</f>
        <v>860.27184179999995</v>
      </c>
      <c r="O1082" s="127"/>
    </row>
    <row r="1083" spans="2:15" x14ac:dyDescent="0.25">
      <c r="B1083" s="2" t="s">
        <v>53</v>
      </c>
      <c r="C1083" s="7">
        <v>504</v>
      </c>
      <c r="D1083" s="95" t="s">
        <v>165</v>
      </c>
      <c r="E1083" s="119" t="s">
        <v>462</v>
      </c>
      <c r="F1083" s="119"/>
      <c r="G1083" s="96">
        <v>312</v>
      </c>
      <c r="H1083" s="120" t="s">
        <v>153</v>
      </c>
      <c r="I1083" s="121"/>
      <c r="J1083" s="122">
        <v>0.01</v>
      </c>
      <c r="K1083" s="123"/>
      <c r="L1083" s="20">
        <f>(E1074+E1073-E1075)*J1083</f>
        <v>8.4155930000000012</v>
      </c>
      <c r="M1083" s="125"/>
      <c r="N1083" s="128"/>
      <c r="O1083" s="129"/>
    </row>
    <row r="1084" spans="2:15" x14ac:dyDescent="0.25">
      <c r="B1084" s="2" t="s">
        <v>55</v>
      </c>
      <c r="C1084" s="3" t="str">
        <f>+CONCATENATE(C1074,"-",C1075,"-",C1076)</f>
        <v>001-001-135</v>
      </c>
    </row>
    <row r="1085" spans="2:15" x14ac:dyDescent="0.25">
      <c r="B1085" s="2" t="s">
        <v>57</v>
      </c>
      <c r="C1085" s="21" t="str">
        <f>+C1075</f>
        <v>001</v>
      </c>
    </row>
    <row r="1086" spans="2:15" x14ac:dyDescent="0.25">
      <c r="B1086" s="2" t="s">
        <v>86</v>
      </c>
      <c r="C1086" s="21" t="s">
        <v>143</v>
      </c>
    </row>
    <row r="1087" spans="2:15" x14ac:dyDescent="0.25">
      <c r="B1087" s="2" t="s">
        <v>58</v>
      </c>
      <c r="C1087" s="21" t="s">
        <v>144</v>
      </c>
      <c r="E1087" s="31" t="s">
        <v>279</v>
      </c>
    </row>
    <row r="1088" spans="2:15" x14ac:dyDescent="0.25">
      <c r="B1088" s="2" t="s">
        <v>60</v>
      </c>
      <c r="C1088" s="21" t="s">
        <v>74</v>
      </c>
    </row>
    <row r="1089" spans="1:18" x14ac:dyDescent="0.25">
      <c r="B1089" s="2" t="s">
        <v>61</v>
      </c>
      <c r="C1089" s="89">
        <f>+E1077-M1082</f>
        <v>860.27184179999995</v>
      </c>
    </row>
    <row r="1092" spans="1:18" ht="26.25" x14ac:dyDescent="0.4">
      <c r="A1092" s="88" t="s">
        <v>311</v>
      </c>
      <c r="B1092" s="34" t="s">
        <v>142</v>
      </c>
      <c r="C1092" s="93" t="s">
        <v>449</v>
      </c>
      <c r="D1092" s="137" t="s">
        <v>312</v>
      </c>
      <c r="E1092" s="137"/>
      <c r="F1092" s="137"/>
    </row>
    <row r="1093" spans="1:18" x14ac:dyDescent="0.25">
      <c r="B1093" s="112" t="s">
        <v>398</v>
      </c>
      <c r="C1093" s="113"/>
      <c r="D1093" s="113"/>
      <c r="E1093" s="113"/>
      <c r="F1093" s="113"/>
      <c r="G1093" s="113"/>
      <c r="H1093" s="113"/>
      <c r="I1093" s="113"/>
      <c r="J1093" s="113"/>
      <c r="K1093" s="113"/>
      <c r="L1093" s="113"/>
      <c r="M1093" s="113"/>
      <c r="N1093" s="113"/>
      <c r="O1093" s="113"/>
      <c r="P1093" s="113"/>
      <c r="Q1093" s="113"/>
      <c r="R1093" s="113"/>
    </row>
    <row r="1094" spans="1:18" x14ac:dyDescent="0.25">
      <c r="B1094" s="2" t="s">
        <v>6</v>
      </c>
      <c r="C1094" s="3" t="s">
        <v>67</v>
      </c>
      <c r="D1094" s="100" t="s">
        <v>8</v>
      </c>
      <c r="E1094" s="5" t="s">
        <v>9</v>
      </c>
      <c r="F1094" s="5" t="s">
        <v>14</v>
      </c>
      <c r="G1094" s="5" t="s">
        <v>10</v>
      </c>
      <c r="H1094" s="5" t="s">
        <v>11</v>
      </c>
      <c r="I1094" s="5" t="s">
        <v>148</v>
      </c>
      <c r="J1094" s="5" t="s">
        <v>149</v>
      </c>
      <c r="K1094" s="5" t="s">
        <v>12</v>
      </c>
      <c r="L1094" s="5" t="s">
        <v>13</v>
      </c>
      <c r="M1094" s="5" t="s">
        <v>40</v>
      </c>
      <c r="N1094" s="5" t="s">
        <v>14</v>
      </c>
      <c r="O1094" s="5" t="s">
        <v>15</v>
      </c>
      <c r="P1094" s="5" t="s">
        <v>16</v>
      </c>
      <c r="Q1094" s="5" t="s">
        <v>17</v>
      </c>
      <c r="R1094" s="5" t="s">
        <v>18</v>
      </c>
    </row>
    <row r="1095" spans="1:18" x14ac:dyDescent="0.25">
      <c r="B1095" s="2" t="s">
        <v>19</v>
      </c>
      <c r="C1095" s="15" t="s">
        <v>68</v>
      </c>
      <c r="D1095" s="95">
        <v>400</v>
      </c>
      <c r="E1095" s="95" t="s">
        <v>446</v>
      </c>
      <c r="F1095" s="43">
        <v>0.12</v>
      </c>
      <c r="G1095" s="7" t="s">
        <v>79</v>
      </c>
      <c r="H1095" s="51">
        <v>0.14000000000000001</v>
      </c>
      <c r="I1095" s="51">
        <f>+IF(F1095=0%,D1095*H1095,0)</f>
        <v>0</v>
      </c>
      <c r="J1095" s="51">
        <f>+IF(F1095=12%,D1095*H1095,0)</f>
        <v>56.000000000000007</v>
      </c>
      <c r="K1095" s="85">
        <f>+L1095*100/J1095</f>
        <v>10.714285714285714</v>
      </c>
      <c r="L1095" s="86">
        <v>6</v>
      </c>
      <c r="M1095" s="53">
        <f>+L1095</f>
        <v>6</v>
      </c>
      <c r="N1095" s="53">
        <f t="shared" ref="N1095:N1101" si="12">+(J1095-M1095)*F1095</f>
        <v>6.0000000000000009</v>
      </c>
      <c r="O1095" s="53">
        <f>+J1095-M1095+N1095</f>
        <v>56.000000000000007</v>
      </c>
      <c r="P1095" s="7" t="s">
        <v>301</v>
      </c>
      <c r="Q1095" s="95" t="s">
        <v>81</v>
      </c>
      <c r="R1095" s="7" t="s">
        <v>25</v>
      </c>
    </row>
    <row r="1096" spans="1:18" x14ac:dyDescent="0.25">
      <c r="B1096" s="2" t="s">
        <v>21</v>
      </c>
      <c r="C1096" s="15" t="s">
        <v>22</v>
      </c>
      <c r="D1096" s="95">
        <v>28</v>
      </c>
      <c r="E1096" s="95" t="s">
        <v>447</v>
      </c>
      <c r="F1096" s="43">
        <v>0.12</v>
      </c>
      <c r="G1096" s="7" t="s">
        <v>82</v>
      </c>
      <c r="H1096" s="51">
        <v>4.59</v>
      </c>
      <c r="I1096" s="51">
        <f t="shared" ref="I1096:I1101" si="13">+IF(F1096=0%,D1096*H1096,0)</f>
        <v>0</v>
      </c>
      <c r="J1096" s="51">
        <f t="shared" ref="J1096:J1101" si="14">+IF(F1096=12%,D1096*H1096,0)</f>
        <v>128.51999999999998</v>
      </c>
      <c r="K1096" s="85">
        <f t="shared" ref="K1096:K1101" si="15">+L1096*100/J1096</f>
        <v>21.786492374727672</v>
      </c>
      <c r="L1096" s="86">
        <v>28</v>
      </c>
      <c r="M1096" s="53">
        <f t="shared" ref="M1096:M1101" si="16">+L1096</f>
        <v>28</v>
      </c>
      <c r="N1096" s="53">
        <f t="shared" si="12"/>
        <v>12.062399999999997</v>
      </c>
      <c r="O1096" s="53">
        <f>+J1096-M1096+N1096</f>
        <v>112.58239999999998</v>
      </c>
      <c r="P1096" s="7" t="s">
        <v>301</v>
      </c>
      <c r="Q1096" s="95" t="s">
        <v>81</v>
      </c>
      <c r="R1096" s="7" t="s">
        <v>25</v>
      </c>
    </row>
    <row r="1097" spans="1:18" ht="30" x14ac:dyDescent="0.25">
      <c r="B1097" s="2" t="s">
        <v>23</v>
      </c>
      <c r="C1097" s="30" t="s">
        <v>70</v>
      </c>
      <c r="D1097" s="95">
        <v>24</v>
      </c>
      <c r="E1097" s="95" t="s">
        <v>448</v>
      </c>
      <c r="F1097" s="43">
        <v>0.12</v>
      </c>
      <c r="G1097" s="7" t="s">
        <v>83</v>
      </c>
      <c r="H1097" s="51">
        <v>2.15</v>
      </c>
      <c r="I1097" s="51">
        <f t="shared" si="13"/>
        <v>0</v>
      </c>
      <c r="J1097" s="51">
        <f t="shared" si="14"/>
        <v>51.599999999999994</v>
      </c>
      <c r="K1097" s="85">
        <f t="shared" si="15"/>
        <v>1.1627906976744187</v>
      </c>
      <c r="L1097" s="86">
        <v>0.6</v>
      </c>
      <c r="M1097" s="53">
        <f t="shared" si="16"/>
        <v>0.6</v>
      </c>
      <c r="N1097" s="53">
        <f t="shared" si="12"/>
        <v>6.1199999999999992</v>
      </c>
      <c r="O1097" s="53">
        <f>+J1097-M1097+N1097</f>
        <v>57.11999999999999</v>
      </c>
      <c r="P1097" s="7" t="s">
        <v>301</v>
      </c>
      <c r="Q1097" s="95" t="s">
        <v>81</v>
      </c>
      <c r="R1097" s="7" t="s">
        <v>25</v>
      </c>
    </row>
    <row r="1098" spans="1:18" x14ac:dyDescent="0.25">
      <c r="B1098" s="2" t="s">
        <v>26</v>
      </c>
      <c r="C1098" s="12" t="s">
        <v>71</v>
      </c>
      <c r="D1098" s="95">
        <v>125</v>
      </c>
      <c r="E1098" s="95"/>
      <c r="F1098" s="43">
        <v>0</v>
      </c>
      <c r="G1098" s="7" t="s">
        <v>298</v>
      </c>
      <c r="H1098" s="51">
        <v>0.38</v>
      </c>
      <c r="I1098" s="51">
        <f t="shared" si="13"/>
        <v>47.5</v>
      </c>
      <c r="J1098" s="51">
        <f t="shared" si="14"/>
        <v>0</v>
      </c>
      <c r="K1098" s="85">
        <f>+L1098*100/I1098</f>
        <v>15.789473684210526</v>
      </c>
      <c r="L1098" s="86">
        <v>7.5</v>
      </c>
      <c r="M1098" s="53">
        <f t="shared" si="16"/>
        <v>7.5</v>
      </c>
      <c r="N1098" s="53">
        <f t="shared" si="12"/>
        <v>0</v>
      </c>
      <c r="O1098" s="53">
        <f>+I1098-M1098+N1098</f>
        <v>40</v>
      </c>
      <c r="P1098" s="7" t="s">
        <v>301</v>
      </c>
      <c r="Q1098" s="95" t="s">
        <v>81</v>
      </c>
      <c r="R1098" s="7" t="s">
        <v>25</v>
      </c>
    </row>
    <row r="1099" spans="1:18" x14ac:dyDescent="0.25">
      <c r="B1099" s="2" t="s">
        <v>27</v>
      </c>
      <c r="C1099" s="3" t="s">
        <v>28</v>
      </c>
      <c r="D1099" s="95">
        <v>750</v>
      </c>
      <c r="E1099" s="95"/>
      <c r="F1099" s="43">
        <v>0</v>
      </c>
      <c r="G1099" s="7" t="s">
        <v>299</v>
      </c>
      <c r="H1099" s="51">
        <v>0.08</v>
      </c>
      <c r="I1099" s="51">
        <f t="shared" si="13"/>
        <v>60</v>
      </c>
      <c r="J1099" s="51">
        <f t="shared" si="14"/>
        <v>0</v>
      </c>
      <c r="K1099" s="85">
        <f>+L1099*100/I1099</f>
        <v>20</v>
      </c>
      <c r="L1099" s="86">
        <v>12</v>
      </c>
      <c r="M1099" s="53">
        <f t="shared" si="16"/>
        <v>12</v>
      </c>
      <c r="N1099" s="53">
        <f t="shared" si="12"/>
        <v>0</v>
      </c>
      <c r="O1099" s="53">
        <f>+I1099-M1099+N1099</f>
        <v>48</v>
      </c>
      <c r="P1099" s="7" t="s">
        <v>301</v>
      </c>
      <c r="Q1099" s="95" t="s">
        <v>81</v>
      </c>
      <c r="R1099" s="7" t="s">
        <v>25</v>
      </c>
    </row>
    <row r="1100" spans="1:18" x14ac:dyDescent="0.25">
      <c r="B1100" s="2" t="s">
        <v>29</v>
      </c>
      <c r="C1100" s="3">
        <v>1</v>
      </c>
      <c r="D1100" s="95">
        <v>1200</v>
      </c>
      <c r="E1100" s="95"/>
      <c r="F1100" s="43">
        <v>0</v>
      </c>
      <c r="G1100" s="7" t="s">
        <v>300</v>
      </c>
      <c r="H1100" s="83">
        <v>0.03</v>
      </c>
      <c r="I1100" s="83">
        <f t="shared" si="13"/>
        <v>36</v>
      </c>
      <c r="J1100" s="83">
        <f t="shared" si="14"/>
        <v>0</v>
      </c>
      <c r="K1100" s="85">
        <f>+L1100*100/I1100</f>
        <v>100</v>
      </c>
      <c r="L1100" s="87">
        <v>36</v>
      </c>
      <c r="M1100" s="53">
        <f t="shared" si="16"/>
        <v>36</v>
      </c>
      <c r="N1100" s="84">
        <f t="shared" si="12"/>
        <v>0</v>
      </c>
      <c r="O1100" s="53">
        <f>+I1100-M1100+N1100</f>
        <v>0</v>
      </c>
      <c r="P1100" s="7" t="s">
        <v>301</v>
      </c>
      <c r="Q1100" s="95" t="s">
        <v>81</v>
      </c>
      <c r="R1100" s="7" t="s">
        <v>25</v>
      </c>
    </row>
    <row r="1101" spans="1:18" ht="15.75" thickBot="1" x14ac:dyDescent="0.3">
      <c r="B1101" s="2" t="s">
        <v>30</v>
      </c>
      <c r="C1101" s="7">
        <v>1122728319</v>
      </c>
      <c r="D1101" s="95">
        <v>786.37</v>
      </c>
      <c r="E1101" s="95" t="s">
        <v>111</v>
      </c>
      <c r="F1101" s="43">
        <v>0.12</v>
      </c>
      <c r="G1101" s="7" t="s">
        <v>112</v>
      </c>
      <c r="H1101" s="84">
        <v>0.89</v>
      </c>
      <c r="I1101" s="84">
        <f t="shared" si="13"/>
        <v>0</v>
      </c>
      <c r="J1101" s="53">
        <f t="shared" si="14"/>
        <v>699.86930000000007</v>
      </c>
      <c r="K1101" s="85">
        <f t="shared" si="15"/>
        <v>21.122515303928893</v>
      </c>
      <c r="L1101" s="86">
        <v>147.83000000000001</v>
      </c>
      <c r="M1101" s="53">
        <f t="shared" si="16"/>
        <v>147.83000000000001</v>
      </c>
      <c r="N1101" s="53">
        <f t="shared" si="12"/>
        <v>66.244715999999997</v>
      </c>
      <c r="O1101" s="53">
        <f>+J1101-M1101+N1101</f>
        <v>618.28401600000007</v>
      </c>
      <c r="P1101" s="7" t="s">
        <v>45</v>
      </c>
      <c r="Q1101" s="95" t="s">
        <v>46</v>
      </c>
      <c r="R1101" s="7" t="s">
        <v>45</v>
      </c>
    </row>
    <row r="1102" spans="1:18" ht="15.75" thickBot="1" x14ac:dyDescent="0.3">
      <c r="B1102" s="2" t="s">
        <v>31</v>
      </c>
      <c r="C1102" s="14">
        <v>43511</v>
      </c>
      <c r="D1102" s="16" t="s">
        <v>34</v>
      </c>
      <c r="E1102" s="40">
        <f>+SUM(I1095:I1101)</f>
        <v>143.5</v>
      </c>
      <c r="L1102" s="130" t="s">
        <v>310</v>
      </c>
    </row>
    <row r="1103" spans="1:18" ht="15.75" thickBot="1" x14ac:dyDescent="0.3">
      <c r="B1103" s="2" t="s">
        <v>32</v>
      </c>
      <c r="C1103" s="15" t="s">
        <v>33</v>
      </c>
      <c r="D1103" s="16" t="s">
        <v>36</v>
      </c>
      <c r="E1103" s="17">
        <f>+SUM(J1095:J1101)</f>
        <v>935.98930000000007</v>
      </c>
      <c r="L1103" s="130"/>
    </row>
    <row r="1104" spans="1:18" ht="15.75" thickBot="1" x14ac:dyDescent="0.3">
      <c r="B1104" s="2" t="s">
        <v>35</v>
      </c>
      <c r="C1104" s="15" t="s">
        <v>33</v>
      </c>
      <c r="D1104" s="16" t="s">
        <v>39</v>
      </c>
      <c r="E1104" s="17">
        <f>SUM(M1095:M1101)</f>
        <v>237.93</v>
      </c>
      <c r="L1104" s="130"/>
    </row>
    <row r="1105" spans="2:15" ht="15.75" thickBot="1" x14ac:dyDescent="0.3">
      <c r="B1105" s="2" t="s">
        <v>37</v>
      </c>
      <c r="C1105" s="15" t="s">
        <v>373</v>
      </c>
      <c r="D1105" s="16" t="s">
        <v>14</v>
      </c>
      <c r="E1105" s="17">
        <f>SUM(N1095:N1101)</f>
        <v>90.427115999999984</v>
      </c>
      <c r="L1105" s="130"/>
    </row>
    <row r="1106" spans="2:15" ht="15.75" thickBot="1" x14ac:dyDescent="0.3">
      <c r="B1106" s="18"/>
      <c r="C1106" s="18"/>
      <c r="D1106" s="16" t="s">
        <v>15</v>
      </c>
      <c r="E1106" s="17">
        <f>SUM(O1095:O1101)</f>
        <v>931.98641599999996</v>
      </c>
      <c r="L1106" s="130"/>
    </row>
    <row r="1107" spans="2:15" x14ac:dyDescent="0.25">
      <c r="B1107" s="18"/>
      <c r="C1107" s="18"/>
    </row>
    <row r="1109" spans="2:15" x14ac:dyDescent="0.25">
      <c r="B1109" s="114" t="s">
        <v>399</v>
      </c>
      <c r="C1109" s="114"/>
      <c r="D1109" s="114"/>
      <c r="E1109" s="114"/>
      <c r="F1109" s="114"/>
      <c r="G1109" s="114"/>
      <c r="H1109" s="114"/>
      <c r="I1109" s="114"/>
      <c r="J1109" s="114"/>
      <c r="K1109" s="114"/>
      <c r="L1109" s="114"/>
      <c r="M1109" s="114"/>
      <c r="N1109" s="114"/>
      <c r="O1109" s="114"/>
    </row>
    <row r="1110" spans="2:15" x14ac:dyDescent="0.25">
      <c r="B1110" s="2" t="s">
        <v>48</v>
      </c>
      <c r="C1110" s="33" t="s">
        <v>33</v>
      </c>
      <c r="D1110" s="19" t="s">
        <v>16</v>
      </c>
      <c r="E1110" s="115" t="s">
        <v>152</v>
      </c>
      <c r="F1110" s="116"/>
      <c r="G1110" s="99" t="s">
        <v>150</v>
      </c>
      <c r="H1110" s="117" t="s">
        <v>49</v>
      </c>
      <c r="I1110" s="118"/>
      <c r="J1110" s="117" t="s">
        <v>151</v>
      </c>
      <c r="K1110" s="118"/>
      <c r="L1110" s="5" t="s">
        <v>50</v>
      </c>
      <c r="M1110" s="5" t="s">
        <v>51</v>
      </c>
      <c r="N1110" s="117" t="s">
        <v>155</v>
      </c>
      <c r="O1110" s="118"/>
    </row>
    <row r="1111" spans="2:15" x14ac:dyDescent="0.25">
      <c r="B1111" s="2" t="s">
        <v>52</v>
      </c>
      <c r="C1111" s="15" t="s">
        <v>33</v>
      </c>
      <c r="D1111" s="95" t="s">
        <v>177</v>
      </c>
      <c r="E1111" s="119" t="s">
        <v>471</v>
      </c>
      <c r="F1111" s="119"/>
      <c r="G1111" s="96">
        <v>712</v>
      </c>
      <c r="H1111" s="120" t="s">
        <v>14</v>
      </c>
      <c r="I1111" s="121"/>
      <c r="J1111" s="122">
        <v>0.1</v>
      </c>
      <c r="K1111" s="123"/>
      <c r="L1111" s="20">
        <f>+E1105*J1111</f>
        <v>9.0427115999999987</v>
      </c>
      <c r="M1111" s="124">
        <f>+L1111+L1112</f>
        <v>76.367455600000014</v>
      </c>
      <c r="N1111" s="126">
        <f>+E1106-M1111</f>
        <v>855.61896039999999</v>
      </c>
      <c r="O1111" s="127"/>
    </row>
    <row r="1112" spans="2:15" x14ac:dyDescent="0.25">
      <c r="B1112" s="2" t="s">
        <v>53</v>
      </c>
      <c r="C1112" s="7">
        <v>505</v>
      </c>
      <c r="D1112" s="95" t="s">
        <v>171</v>
      </c>
      <c r="E1112" s="119" t="s">
        <v>467</v>
      </c>
      <c r="F1112" s="119"/>
      <c r="G1112" s="96">
        <v>320</v>
      </c>
      <c r="H1112" s="120" t="s">
        <v>153</v>
      </c>
      <c r="I1112" s="121"/>
      <c r="J1112" s="122">
        <v>0.08</v>
      </c>
      <c r="K1112" s="123"/>
      <c r="L1112" s="20">
        <f>(E1103+E1102-E1104)*J1112</f>
        <v>67.32474400000001</v>
      </c>
      <c r="M1112" s="125"/>
      <c r="N1112" s="128"/>
      <c r="O1112" s="129"/>
    </row>
    <row r="1113" spans="2:15" x14ac:dyDescent="0.25">
      <c r="B1113" s="2" t="s">
        <v>55</v>
      </c>
      <c r="C1113" s="3" t="str">
        <f>+CONCATENATE(C1103,"-",C1104,"-",C1105)</f>
        <v>001-001-136</v>
      </c>
    </row>
    <row r="1114" spans="2:15" x14ac:dyDescent="0.25">
      <c r="B1114" s="2" t="s">
        <v>57</v>
      </c>
      <c r="C1114" s="21" t="str">
        <f>+C1103</f>
        <v>001</v>
      </c>
    </row>
    <row r="1115" spans="2:15" x14ac:dyDescent="0.25">
      <c r="B1115" s="2" t="s">
        <v>86</v>
      </c>
      <c r="C1115" s="21" t="s">
        <v>143</v>
      </c>
      <c r="E1115" s="31" t="s">
        <v>279</v>
      </c>
    </row>
    <row r="1116" spans="2:15" x14ac:dyDescent="0.25">
      <c r="B1116" s="2" t="s">
        <v>58</v>
      </c>
      <c r="C1116" s="21" t="s">
        <v>73</v>
      </c>
    </row>
    <row r="1117" spans="2:15" x14ac:dyDescent="0.25">
      <c r="B1117" s="2" t="s">
        <v>60</v>
      </c>
      <c r="C1117" s="21" t="s">
        <v>74</v>
      </c>
      <c r="D1117" s="95" t="s">
        <v>154</v>
      </c>
    </row>
    <row r="1118" spans="2:15" x14ac:dyDescent="0.25">
      <c r="B1118" s="2" t="s">
        <v>61</v>
      </c>
      <c r="C1118" s="27">
        <f>+(E1106-M1111)*D1118</f>
        <v>256.68568812000001</v>
      </c>
      <c r="D1118" s="43">
        <v>0.3</v>
      </c>
    </row>
    <row r="1119" spans="2:15" x14ac:dyDescent="0.25">
      <c r="B1119" s="2" t="s">
        <v>60</v>
      </c>
      <c r="C1119" s="21" t="s">
        <v>75</v>
      </c>
      <c r="D1119" s="95" t="s">
        <v>154</v>
      </c>
    </row>
    <row r="1120" spans="2:15" x14ac:dyDescent="0.25">
      <c r="B1120" s="2" t="s">
        <v>61</v>
      </c>
      <c r="C1120" s="27">
        <f>+(E1106-M1111)*D1120</f>
        <v>256.68568812000001</v>
      </c>
      <c r="D1120" s="43">
        <v>0.3</v>
      </c>
      <c r="E1120" s="28"/>
      <c r="F1120" s="28"/>
      <c r="H1120" s="23"/>
      <c r="I1120" s="23"/>
      <c r="J1120" s="24"/>
      <c r="K1120" s="24"/>
      <c r="L1120" s="25"/>
      <c r="M1120" s="26"/>
      <c r="N1120" s="22"/>
      <c r="O1120" s="22"/>
    </row>
    <row r="1121" spans="1:18" x14ac:dyDescent="0.25">
      <c r="B1121" s="2" t="s">
        <v>58</v>
      </c>
      <c r="C1121" s="21" t="s">
        <v>76</v>
      </c>
      <c r="D1121" s="95"/>
    </row>
    <row r="1122" spans="1:18" x14ac:dyDescent="0.25">
      <c r="B1122" s="2" t="s">
        <v>60</v>
      </c>
      <c r="C1122" s="21" t="s">
        <v>89</v>
      </c>
      <c r="D1122" s="95" t="s">
        <v>154</v>
      </c>
    </row>
    <row r="1123" spans="1:18" x14ac:dyDescent="0.25">
      <c r="B1123" s="2" t="s">
        <v>61</v>
      </c>
      <c r="C1123" s="27">
        <f>+(E1106-M1111)*D1123</f>
        <v>342.24758416000003</v>
      </c>
      <c r="D1123" s="43">
        <v>0.4</v>
      </c>
    </row>
    <row r="1126" spans="1:18" ht="26.25" x14ac:dyDescent="0.4">
      <c r="A1126" s="88" t="s">
        <v>311</v>
      </c>
      <c r="B1126" s="34" t="s">
        <v>145</v>
      </c>
      <c r="C1126" s="93" t="s">
        <v>450</v>
      </c>
      <c r="D1126" s="137" t="s">
        <v>312</v>
      </c>
      <c r="E1126" s="137"/>
      <c r="F1126" s="137"/>
      <c r="M1126" s="101">
        <f>+J1129-K1129</f>
        <v>45.285714285714292</v>
      </c>
    </row>
    <row r="1127" spans="1:18" x14ac:dyDescent="0.25">
      <c r="B1127" s="112" t="s">
        <v>398</v>
      </c>
      <c r="C1127" s="113"/>
      <c r="D1127" s="113"/>
      <c r="E1127" s="113"/>
      <c r="F1127" s="113"/>
      <c r="G1127" s="113"/>
      <c r="H1127" s="113"/>
      <c r="I1127" s="113"/>
      <c r="J1127" s="113"/>
      <c r="K1127" s="113"/>
      <c r="L1127" s="113"/>
      <c r="M1127" s="113"/>
      <c r="N1127" s="113"/>
      <c r="O1127" s="113"/>
      <c r="P1127" s="113"/>
      <c r="Q1127" s="113"/>
      <c r="R1127" s="113"/>
    </row>
    <row r="1128" spans="1:18" x14ac:dyDescent="0.25">
      <c r="B1128" s="2" t="s">
        <v>6</v>
      </c>
      <c r="C1128" s="3" t="s">
        <v>67</v>
      </c>
      <c r="D1128" s="100" t="s">
        <v>8</v>
      </c>
      <c r="E1128" s="5" t="s">
        <v>9</v>
      </c>
      <c r="F1128" s="5" t="s">
        <v>14</v>
      </c>
      <c r="G1128" s="5" t="s">
        <v>10</v>
      </c>
      <c r="H1128" s="5" t="s">
        <v>11</v>
      </c>
      <c r="I1128" s="5" t="s">
        <v>148</v>
      </c>
      <c r="J1128" s="5" t="s">
        <v>149</v>
      </c>
      <c r="K1128" s="5" t="s">
        <v>12</v>
      </c>
      <c r="L1128" s="5" t="s">
        <v>13</v>
      </c>
      <c r="M1128" s="5" t="s">
        <v>40</v>
      </c>
      <c r="N1128" s="5" t="s">
        <v>14</v>
      </c>
      <c r="O1128" s="5" t="s">
        <v>15</v>
      </c>
      <c r="P1128" s="5" t="s">
        <v>16</v>
      </c>
      <c r="Q1128" s="5" t="s">
        <v>17</v>
      </c>
      <c r="R1128" s="5" t="s">
        <v>18</v>
      </c>
    </row>
    <row r="1129" spans="1:18" x14ac:dyDescent="0.25">
      <c r="B1129" s="2" t="s">
        <v>19</v>
      </c>
      <c r="C1129" s="15" t="s">
        <v>68</v>
      </c>
      <c r="D1129" s="95">
        <v>400</v>
      </c>
      <c r="E1129" s="95" t="s">
        <v>446</v>
      </c>
      <c r="F1129" s="43">
        <v>0.12</v>
      </c>
      <c r="G1129" s="7" t="s">
        <v>79</v>
      </c>
      <c r="H1129" s="51">
        <v>0.14000000000000001</v>
      </c>
      <c r="I1129" s="51">
        <f>+IF(F1129=0%,D1129*H1129,0)</f>
        <v>0</v>
      </c>
      <c r="J1129" s="51">
        <f>+IF(F1129=12%,D1129*H1129,0)</f>
        <v>56.000000000000007</v>
      </c>
      <c r="K1129" s="85">
        <f>+L1129*100/J1129</f>
        <v>10.714285714285714</v>
      </c>
      <c r="L1129" s="86">
        <v>6</v>
      </c>
      <c r="M1129" s="53">
        <f>+L1129</f>
        <v>6</v>
      </c>
      <c r="N1129" s="53">
        <f t="shared" ref="N1129:N1135" si="17">+(J1129-M1129)*F1129</f>
        <v>6.0000000000000009</v>
      </c>
      <c r="O1129" s="53">
        <f>+J1129-M1129+N1129</f>
        <v>56.000000000000007</v>
      </c>
      <c r="P1129" s="7" t="s">
        <v>301</v>
      </c>
      <c r="Q1129" s="95" t="s">
        <v>81</v>
      </c>
      <c r="R1129" s="7" t="s">
        <v>25</v>
      </c>
    </row>
    <row r="1130" spans="1:18" x14ac:dyDescent="0.25">
      <c r="B1130" s="2" t="s">
        <v>21</v>
      </c>
      <c r="C1130" s="15" t="s">
        <v>22</v>
      </c>
      <c r="D1130" s="95">
        <v>28</v>
      </c>
      <c r="E1130" s="95" t="s">
        <v>447</v>
      </c>
      <c r="F1130" s="43">
        <v>0.12</v>
      </c>
      <c r="G1130" s="7" t="s">
        <v>82</v>
      </c>
      <c r="H1130" s="51">
        <v>4.59</v>
      </c>
      <c r="I1130" s="51">
        <f t="shared" ref="I1130:I1135" si="18">+IF(F1130=0%,D1130*H1130,0)</f>
        <v>0</v>
      </c>
      <c r="J1130" s="51">
        <f t="shared" ref="J1130:J1135" si="19">+IF(F1130=12%,D1130*H1130,0)</f>
        <v>128.51999999999998</v>
      </c>
      <c r="K1130" s="85">
        <f t="shared" ref="K1130:K1135" si="20">+L1130*100/J1130</f>
        <v>21.786492374727672</v>
      </c>
      <c r="L1130" s="86">
        <v>28</v>
      </c>
      <c r="M1130" s="53">
        <f t="shared" ref="M1130:M1135" si="21">+L1130</f>
        <v>28</v>
      </c>
      <c r="N1130" s="53">
        <f t="shared" si="17"/>
        <v>12.062399999999997</v>
      </c>
      <c r="O1130" s="53">
        <f>+J1130-M1130+N1130</f>
        <v>112.58239999999998</v>
      </c>
      <c r="P1130" s="7" t="s">
        <v>301</v>
      </c>
      <c r="Q1130" s="95" t="s">
        <v>81</v>
      </c>
      <c r="R1130" s="7" t="s">
        <v>25</v>
      </c>
    </row>
    <row r="1131" spans="1:18" ht="30" x14ac:dyDescent="0.25">
      <c r="B1131" s="2" t="s">
        <v>23</v>
      </c>
      <c r="C1131" s="30" t="s">
        <v>70</v>
      </c>
      <c r="D1131" s="95">
        <v>24</v>
      </c>
      <c r="E1131" s="95" t="s">
        <v>448</v>
      </c>
      <c r="F1131" s="43">
        <v>0.12</v>
      </c>
      <c r="G1131" s="7" t="s">
        <v>83</v>
      </c>
      <c r="H1131" s="51">
        <v>2.15</v>
      </c>
      <c r="I1131" s="51">
        <f t="shared" si="18"/>
        <v>0</v>
      </c>
      <c r="J1131" s="51">
        <f t="shared" si="19"/>
        <v>51.599999999999994</v>
      </c>
      <c r="K1131" s="85">
        <f t="shared" si="20"/>
        <v>1.1627906976744187</v>
      </c>
      <c r="L1131" s="86">
        <v>0.6</v>
      </c>
      <c r="M1131" s="53">
        <f t="shared" si="21"/>
        <v>0.6</v>
      </c>
      <c r="N1131" s="53">
        <f t="shared" si="17"/>
        <v>6.1199999999999992</v>
      </c>
      <c r="O1131" s="53">
        <f>+J1131-M1131+N1131</f>
        <v>57.11999999999999</v>
      </c>
      <c r="P1131" s="7" t="s">
        <v>301</v>
      </c>
      <c r="Q1131" s="95" t="s">
        <v>81</v>
      </c>
      <c r="R1131" s="7" t="s">
        <v>25</v>
      </c>
    </row>
    <row r="1132" spans="1:18" x14ac:dyDescent="0.25">
      <c r="B1132" s="2" t="s">
        <v>26</v>
      </c>
      <c r="C1132" s="12" t="s">
        <v>71</v>
      </c>
      <c r="D1132" s="95">
        <v>125</v>
      </c>
      <c r="E1132" s="95"/>
      <c r="F1132" s="43">
        <v>0</v>
      </c>
      <c r="G1132" s="7" t="s">
        <v>298</v>
      </c>
      <c r="H1132" s="51">
        <v>0.38</v>
      </c>
      <c r="I1132" s="51">
        <f t="shared" si="18"/>
        <v>47.5</v>
      </c>
      <c r="J1132" s="51">
        <f t="shared" si="19"/>
        <v>0</v>
      </c>
      <c r="K1132" s="85">
        <f>+L1132*100/I1132</f>
        <v>15.789473684210526</v>
      </c>
      <c r="L1132" s="86">
        <v>7.5</v>
      </c>
      <c r="M1132" s="53">
        <f t="shared" si="21"/>
        <v>7.5</v>
      </c>
      <c r="N1132" s="53">
        <f t="shared" si="17"/>
        <v>0</v>
      </c>
      <c r="O1132" s="53">
        <f>+I1132-M1132+N1132</f>
        <v>40</v>
      </c>
      <c r="P1132" s="7" t="s">
        <v>301</v>
      </c>
      <c r="Q1132" s="95" t="s">
        <v>81</v>
      </c>
      <c r="R1132" s="7" t="s">
        <v>25</v>
      </c>
    </row>
    <row r="1133" spans="1:18" x14ac:dyDescent="0.25">
      <c r="B1133" s="2" t="s">
        <v>27</v>
      </c>
      <c r="C1133" s="3" t="s">
        <v>28</v>
      </c>
      <c r="D1133" s="95">
        <v>750</v>
      </c>
      <c r="E1133" s="95"/>
      <c r="F1133" s="43">
        <v>0</v>
      </c>
      <c r="G1133" s="7" t="s">
        <v>299</v>
      </c>
      <c r="H1133" s="51">
        <v>0.08</v>
      </c>
      <c r="I1133" s="51">
        <f t="shared" si="18"/>
        <v>60</v>
      </c>
      <c r="J1133" s="51">
        <f t="shared" si="19"/>
        <v>0</v>
      </c>
      <c r="K1133" s="85">
        <f>+L1133*100/I1133</f>
        <v>20</v>
      </c>
      <c r="L1133" s="86">
        <v>12</v>
      </c>
      <c r="M1133" s="53">
        <f t="shared" si="21"/>
        <v>12</v>
      </c>
      <c r="N1133" s="53">
        <f t="shared" si="17"/>
        <v>0</v>
      </c>
      <c r="O1133" s="53">
        <f>+I1133-M1133+N1133</f>
        <v>48</v>
      </c>
      <c r="P1133" s="7" t="s">
        <v>301</v>
      </c>
      <c r="Q1133" s="95" t="s">
        <v>81</v>
      </c>
      <c r="R1133" s="7" t="s">
        <v>25</v>
      </c>
    </row>
    <row r="1134" spans="1:18" x14ac:dyDescent="0.25">
      <c r="B1134" s="2" t="s">
        <v>29</v>
      </c>
      <c r="C1134" s="3">
        <v>1</v>
      </c>
      <c r="D1134" s="95">
        <v>1200</v>
      </c>
      <c r="E1134" s="95"/>
      <c r="F1134" s="43">
        <v>0</v>
      </c>
      <c r="G1134" s="7" t="s">
        <v>300</v>
      </c>
      <c r="H1134" s="83">
        <v>0.03</v>
      </c>
      <c r="I1134" s="83">
        <f t="shared" si="18"/>
        <v>36</v>
      </c>
      <c r="J1134" s="83">
        <f t="shared" si="19"/>
        <v>0</v>
      </c>
      <c r="K1134" s="85">
        <f>+L1134*100/I1134</f>
        <v>100</v>
      </c>
      <c r="L1134" s="87">
        <v>36</v>
      </c>
      <c r="M1134" s="53">
        <f t="shared" si="21"/>
        <v>36</v>
      </c>
      <c r="N1134" s="84">
        <f t="shared" si="17"/>
        <v>0</v>
      </c>
      <c r="O1134" s="53">
        <f>+I1134-M1134+N1134</f>
        <v>0</v>
      </c>
      <c r="P1134" s="7" t="s">
        <v>301</v>
      </c>
      <c r="Q1134" s="95" t="s">
        <v>81</v>
      </c>
      <c r="R1134" s="7" t="s">
        <v>25</v>
      </c>
    </row>
    <row r="1135" spans="1:18" ht="15.75" thickBot="1" x14ac:dyDescent="0.3">
      <c r="B1135" s="2" t="s">
        <v>30</v>
      </c>
      <c r="C1135" s="7">
        <v>1122728319</v>
      </c>
      <c r="D1135" s="95">
        <v>786.37</v>
      </c>
      <c r="E1135" s="95" t="s">
        <v>111</v>
      </c>
      <c r="F1135" s="43">
        <v>0.12</v>
      </c>
      <c r="G1135" s="7" t="s">
        <v>112</v>
      </c>
      <c r="H1135" s="84">
        <v>0.89</v>
      </c>
      <c r="I1135" s="84">
        <f t="shared" si="18"/>
        <v>0</v>
      </c>
      <c r="J1135" s="53">
        <f t="shared" si="19"/>
        <v>699.86930000000007</v>
      </c>
      <c r="K1135" s="85">
        <f t="shared" si="20"/>
        <v>21.122515303928893</v>
      </c>
      <c r="L1135" s="86">
        <v>147.83000000000001</v>
      </c>
      <c r="M1135" s="53">
        <f t="shared" si="21"/>
        <v>147.83000000000001</v>
      </c>
      <c r="N1135" s="53">
        <f t="shared" si="17"/>
        <v>66.244715999999997</v>
      </c>
      <c r="O1135" s="53">
        <f>+J1135-M1135+N1135</f>
        <v>618.28401600000007</v>
      </c>
      <c r="P1135" s="7" t="s">
        <v>45</v>
      </c>
      <c r="Q1135" s="95" t="s">
        <v>46</v>
      </c>
      <c r="R1135" s="7" t="s">
        <v>45</v>
      </c>
    </row>
    <row r="1136" spans="1:18" ht="15.75" thickBot="1" x14ac:dyDescent="0.3">
      <c r="B1136" s="2" t="s">
        <v>31</v>
      </c>
      <c r="C1136" s="14">
        <v>43511</v>
      </c>
      <c r="D1136" s="16" t="s">
        <v>34</v>
      </c>
      <c r="E1136" s="40">
        <f>+SUM(I1129:I1135)</f>
        <v>143.5</v>
      </c>
      <c r="L1136" s="130" t="s">
        <v>310</v>
      </c>
    </row>
    <row r="1137" spans="2:15" ht="15.75" thickBot="1" x14ac:dyDescent="0.3">
      <c r="B1137" s="2" t="s">
        <v>32</v>
      </c>
      <c r="C1137" s="15" t="s">
        <v>33</v>
      </c>
      <c r="D1137" s="16" t="s">
        <v>36</v>
      </c>
      <c r="E1137" s="17">
        <f>+SUM(J1129:J1135)</f>
        <v>935.98930000000007</v>
      </c>
      <c r="L1137" s="130"/>
    </row>
    <row r="1138" spans="2:15" ht="15.75" thickBot="1" x14ac:dyDescent="0.3">
      <c r="B1138" s="2" t="s">
        <v>35</v>
      </c>
      <c r="C1138" s="15" t="s">
        <v>33</v>
      </c>
      <c r="D1138" s="16" t="s">
        <v>39</v>
      </c>
      <c r="E1138" s="17">
        <f>SUM(M1129:M1135)</f>
        <v>237.93</v>
      </c>
      <c r="L1138" s="130"/>
    </row>
    <row r="1139" spans="2:15" ht="15.75" thickBot="1" x14ac:dyDescent="0.3">
      <c r="B1139" s="2" t="s">
        <v>37</v>
      </c>
      <c r="C1139" s="15" t="s">
        <v>374</v>
      </c>
      <c r="D1139" s="16" t="s">
        <v>14</v>
      </c>
      <c r="E1139" s="17">
        <f>SUM(N1129:N1135)</f>
        <v>90.427115999999984</v>
      </c>
      <c r="L1139" s="130"/>
    </row>
    <row r="1140" spans="2:15" ht="15.75" thickBot="1" x14ac:dyDescent="0.3">
      <c r="B1140" s="18"/>
      <c r="C1140" s="18"/>
      <c r="D1140" s="16" t="s">
        <v>15</v>
      </c>
      <c r="E1140" s="17">
        <f>SUM(O1129:O1135)</f>
        <v>931.98641599999996</v>
      </c>
      <c r="L1140" s="130"/>
    </row>
    <row r="1141" spans="2:15" x14ac:dyDescent="0.25">
      <c r="B1141" s="18"/>
      <c r="C1141" s="18"/>
    </row>
    <row r="1143" spans="2:15" x14ac:dyDescent="0.25">
      <c r="B1143" s="114" t="s">
        <v>399</v>
      </c>
      <c r="C1143" s="114"/>
      <c r="D1143" s="114"/>
      <c r="E1143" s="114"/>
      <c r="F1143" s="114"/>
      <c r="G1143" s="114"/>
      <c r="H1143" s="114"/>
      <c r="I1143" s="114"/>
      <c r="J1143" s="114"/>
      <c r="K1143" s="114"/>
      <c r="L1143" s="114"/>
      <c r="M1143" s="114"/>
      <c r="N1143" s="114"/>
      <c r="O1143" s="114"/>
    </row>
    <row r="1144" spans="2:15" x14ac:dyDescent="0.25">
      <c r="B1144" s="2" t="s">
        <v>48</v>
      </c>
      <c r="C1144" s="15" t="s">
        <v>33</v>
      </c>
      <c r="D1144" s="19" t="s">
        <v>16</v>
      </c>
      <c r="E1144" s="115" t="s">
        <v>152</v>
      </c>
      <c r="F1144" s="116"/>
      <c r="G1144" s="99" t="s">
        <v>150</v>
      </c>
      <c r="H1144" s="117" t="s">
        <v>49</v>
      </c>
      <c r="I1144" s="118"/>
      <c r="J1144" s="117" t="s">
        <v>151</v>
      </c>
      <c r="K1144" s="118"/>
      <c r="L1144" s="5" t="s">
        <v>50</v>
      </c>
      <c r="M1144" s="5" t="s">
        <v>51</v>
      </c>
      <c r="N1144" s="117" t="s">
        <v>155</v>
      </c>
      <c r="O1144" s="118"/>
    </row>
    <row r="1145" spans="2:15" x14ac:dyDescent="0.25">
      <c r="B1145" s="2" t="s">
        <v>52</v>
      </c>
      <c r="C1145" s="15" t="s">
        <v>33</v>
      </c>
      <c r="D1145" s="95" t="s">
        <v>181</v>
      </c>
      <c r="E1145" s="119" t="s">
        <v>472</v>
      </c>
      <c r="F1145" s="119"/>
      <c r="G1145" s="96">
        <v>731</v>
      </c>
      <c r="H1145" s="120" t="s">
        <v>14</v>
      </c>
      <c r="I1145" s="121"/>
      <c r="J1145" s="122">
        <v>1</v>
      </c>
      <c r="K1145" s="123"/>
      <c r="L1145" s="20">
        <f>+E1139*J1145</f>
        <v>90.427115999999984</v>
      </c>
      <c r="M1145" s="124">
        <f>+L1145+L1146</f>
        <v>107.25830199999999</v>
      </c>
      <c r="N1145" s="126">
        <f>+E1140-M1145</f>
        <v>824.72811400000001</v>
      </c>
      <c r="O1145" s="127"/>
    </row>
    <row r="1146" spans="2:15" x14ac:dyDescent="0.25">
      <c r="B1146" s="2" t="s">
        <v>53</v>
      </c>
      <c r="C1146" s="15" t="s">
        <v>164</v>
      </c>
      <c r="D1146" s="95" t="s">
        <v>175</v>
      </c>
      <c r="E1146" s="119" t="s">
        <v>468</v>
      </c>
      <c r="F1146" s="119"/>
      <c r="G1146" s="96">
        <v>311</v>
      </c>
      <c r="H1146" s="120" t="s">
        <v>153</v>
      </c>
      <c r="I1146" s="121"/>
      <c r="J1146" s="122">
        <v>0.02</v>
      </c>
      <c r="K1146" s="123"/>
      <c r="L1146" s="20">
        <f>(E1137+E1136-E1138)*J1146</f>
        <v>16.831186000000002</v>
      </c>
      <c r="M1146" s="125"/>
      <c r="N1146" s="128"/>
      <c r="O1146" s="129"/>
    </row>
    <row r="1147" spans="2:15" x14ac:dyDescent="0.25">
      <c r="B1147" s="2" t="s">
        <v>55</v>
      </c>
      <c r="C1147" s="3" t="str">
        <f>+CONCATENATE(C1137,"-",C1138,"-",C1139)</f>
        <v>001-001-137</v>
      </c>
    </row>
    <row r="1148" spans="2:15" x14ac:dyDescent="0.25">
      <c r="B1148" s="2" t="s">
        <v>57</v>
      </c>
      <c r="C1148" s="21">
        <f>+C1136</f>
        <v>43511</v>
      </c>
    </row>
    <row r="1149" spans="2:15" x14ac:dyDescent="0.25">
      <c r="B1149" s="2" t="s">
        <v>86</v>
      </c>
      <c r="C1149" s="21" t="s">
        <v>143</v>
      </c>
    </row>
    <row r="1150" spans="2:15" x14ac:dyDescent="0.25">
      <c r="B1150" s="2" t="s">
        <v>58</v>
      </c>
      <c r="C1150" s="21" t="s">
        <v>73</v>
      </c>
      <c r="E1150" s="31" t="s">
        <v>279</v>
      </c>
    </row>
    <row r="1151" spans="2:15" x14ac:dyDescent="0.25">
      <c r="B1151" s="2" t="s">
        <v>60</v>
      </c>
      <c r="C1151" s="21" t="s">
        <v>74</v>
      </c>
      <c r="D1151" s="95" t="s">
        <v>154</v>
      </c>
    </row>
    <row r="1152" spans="2:15" x14ac:dyDescent="0.25">
      <c r="B1152" s="2" t="s">
        <v>61</v>
      </c>
      <c r="C1152" s="27">
        <f>+(E1140-M1145)*D1152</f>
        <v>494.83686839999996</v>
      </c>
      <c r="D1152" s="43">
        <v>0.6</v>
      </c>
    </row>
    <row r="1153" spans="1:18" x14ac:dyDescent="0.25">
      <c r="B1153" s="2" t="s">
        <v>147</v>
      </c>
      <c r="C1153" s="21" t="s">
        <v>84</v>
      </c>
    </row>
    <row r="1154" spans="1:18" x14ac:dyDescent="0.25">
      <c r="B1154" s="2" t="s">
        <v>60</v>
      </c>
      <c r="C1154" s="21" t="s">
        <v>85</v>
      </c>
      <c r="D1154" s="95" t="s">
        <v>154</v>
      </c>
    </row>
    <row r="1155" spans="1:18" x14ac:dyDescent="0.25">
      <c r="B1155" s="2" t="s">
        <v>61</v>
      </c>
      <c r="C1155" s="27">
        <f>+(E1140-M1145)*D1155</f>
        <v>329.89124560000005</v>
      </c>
      <c r="D1155" s="43">
        <v>0.4</v>
      </c>
    </row>
    <row r="1158" spans="1:18" x14ac:dyDescent="0.25">
      <c r="A1158" s="71"/>
      <c r="B1158" s="71"/>
      <c r="C1158" s="71"/>
      <c r="D1158" s="71"/>
      <c r="E1158" s="71"/>
      <c r="F1158" s="71"/>
      <c r="G1158" s="71"/>
      <c r="H1158" s="71"/>
      <c r="I1158" s="71"/>
      <c r="J1158" s="71"/>
      <c r="K1158" s="71"/>
      <c r="L1158" s="71"/>
      <c r="M1158" s="71"/>
      <c r="N1158" s="71"/>
      <c r="O1158" s="71"/>
      <c r="P1158" s="71"/>
      <c r="Q1158" s="71"/>
      <c r="R1158" s="71"/>
    </row>
    <row r="1159" spans="1:18" ht="26.25" x14ac:dyDescent="0.25">
      <c r="A1159" s="78" t="s">
        <v>302</v>
      </c>
      <c r="B1159" s="78" t="s">
        <v>92</v>
      </c>
      <c r="C1159" s="94" t="s">
        <v>451</v>
      </c>
      <c r="D1159" s="137" t="s">
        <v>321</v>
      </c>
      <c r="E1159" s="137"/>
      <c r="F1159" s="137"/>
    </row>
    <row r="1160" spans="1:18" x14ac:dyDescent="0.25">
      <c r="B1160" s="112" t="s">
        <v>398</v>
      </c>
      <c r="C1160" s="113"/>
      <c r="D1160" s="113"/>
      <c r="E1160" s="113"/>
      <c r="F1160" s="113"/>
      <c r="G1160" s="113"/>
      <c r="H1160" s="113"/>
      <c r="I1160" s="113"/>
      <c r="J1160" s="113"/>
      <c r="K1160" s="113"/>
      <c r="L1160" s="113"/>
      <c r="M1160" s="113"/>
      <c r="N1160" s="113"/>
      <c r="O1160" s="113"/>
      <c r="P1160" s="113"/>
      <c r="Q1160" s="113"/>
      <c r="R1160" s="113"/>
    </row>
    <row r="1161" spans="1:18" x14ac:dyDescent="0.25">
      <c r="B1161" s="2" t="s">
        <v>6</v>
      </c>
      <c r="C1161" s="3" t="s">
        <v>7</v>
      </c>
      <c r="D1161" s="100" t="s">
        <v>8</v>
      </c>
      <c r="E1161" s="5" t="s">
        <v>9</v>
      </c>
      <c r="F1161" s="5" t="s">
        <v>14</v>
      </c>
      <c r="G1161" s="5" t="s">
        <v>10</v>
      </c>
      <c r="H1161" s="5" t="s">
        <v>11</v>
      </c>
      <c r="I1161" s="5" t="s">
        <v>148</v>
      </c>
      <c r="J1161" s="5" t="s">
        <v>149</v>
      </c>
      <c r="K1161" s="5" t="s">
        <v>12</v>
      </c>
      <c r="L1161" s="5" t="s">
        <v>13</v>
      </c>
      <c r="M1161" s="5" t="s">
        <v>40</v>
      </c>
      <c r="N1161" s="5" t="s">
        <v>14</v>
      </c>
      <c r="O1161" s="5" t="s">
        <v>15</v>
      </c>
      <c r="P1161" s="5" t="s">
        <v>16</v>
      </c>
      <c r="Q1161" s="5" t="s">
        <v>17</v>
      </c>
      <c r="R1161" s="5" t="s">
        <v>18</v>
      </c>
    </row>
    <row r="1162" spans="1:18" x14ac:dyDescent="0.25">
      <c r="B1162" s="2" t="s">
        <v>19</v>
      </c>
      <c r="C1162" s="6" t="s">
        <v>20</v>
      </c>
      <c r="D1162" s="95">
        <v>48.26</v>
      </c>
      <c r="E1162" s="95" t="s">
        <v>107</v>
      </c>
      <c r="F1162" s="43">
        <v>0.12</v>
      </c>
      <c r="G1162" s="35" t="s">
        <v>108</v>
      </c>
      <c r="H1162" s="51">
        <v>1.26</v>
      </c>
      <c r="I1162" s="51">
        <f>+IF(F1162=0%,D1162*H1162,0)</f>
        <v>0</v>
      </c>
      <c r="J1162" s="51">
        <f>+IF(F1162=12%,D1162*H1162,0)</f>
        <v>60.807600000000001</v>
      </c>
      <c r="K1162" s="81">
        <f>+$K$1170</f>
        <v>0.27560000000000001</v>
      </c>
      <c r="L1162" s="53">
        <v>0</v>
      </c>
      <c r="M1162" s="53">
        <f>+J1162*K1162</f>
        <v>16.75857456</v>
      </c>
      <c r="N1162" s="53">
        <f>+(J1162-M1162)*F1162</f>
        <v>5.2858830528</v>
      </c>
      <c r="O1162" s="53">
        <f>+J1162-M1162+N1162</f>
        <v>49.334908492800004</v>
      </c>
      <c r="P1162" s="7" t="s">
        <v>45</v>
      </c>
      <c r="Q1162" s="7" t="s">
        <v>46</v>
      </c>
      <c r="R1162" s="7" t="s">
        <v>45</v>
      </c>
    </row>
    <row r="1163" spans="1:18" x14ac:dyDescent="0.25">
      <c r="B1163" s="2" t="s">
        <v>21</v>
      </c>
      <c r="C1163" s="15" t="s">
        <v>22</v>
      </c>
      <c r="D1163" s="95">
        <v>356.48</v>
      </c>
      <c r="E1163" s="95" t="s">
        <v>109</v>
      </c>
      <c r="F1163" s="43">
        <v>0.12</v>
      </c>
      <c r="G1163" s="35" t="s">
        <v>110</v>
      </c>
      <c r="H1163" s="51">
        <v>0.98</v>
      </c>
      <c r="I1163" s="51">
        <f t="shared" ref="I1163:I1168" si="22">+IF(F1163=0%,D1163*H1163,0)</f>
        <v>0</v>
      </c>
      <c r="J1163" s="51">
        <f t="shared" ref="J1163:J1168" si="23">+IF(F1163=12%,D1163*H1163,0)</f>
        <v>349.35040000000004</v>
      </c>
      <c r="K1163" s="81">
        <f t="shared" ref="K1163:K1168" si="24">+$K$1170</f>
        <v>0.27560000000000001</v>
      </c>
      <c r="L1163" s="53">
        <v>0</v>
      </c>
      <c r="M1163" s="53">
        <f>+J1163*K1163</f>
        <v>96.280970240000016</v>
      </c>
      <c r="N1163" s="53">
        <f>+(J1163-M1163)*F1163</f>
        <v>30.368331571200002</v>
      </c>
      <c r="O1163" s="53">
        <f>+J1163-M1163+N1163</f>
        <v>283.43776133120002</v>
      </c>
      <c r="P1163" s="7" t="s">
        <v>45</v>
      </c>
      <c r="Q1163" s="95" t="s">
        <v>46</v>
      </c>
      <c r="R1163" s="7" t="s">
        <v>45</v>
      </c>
    </row>
    <row r="1164" spans="1:18" ht="30" x14ac:dyDescent="0.25">
      <c r="B1164" s="2" t="s">
        <v>23</v>
      </c>
      <c r="C1164" s="8" t="s">
        <v>70</v>
      </c>
      <c r="D1164" s="95">
        <v>277.83</v>
      </c>
      <c r="E1164" s="95" t="s">
        <v>111</v>
      </c>
      <c r="F1164" s="43">
        <v>0.12</v>
      </c>
      <c r="G1164" s="35" t="s">
        <v>112</v>
      </c>
      <c r="H1164" s="51">
        <v>1.25</v>
      </c>
      <c r="I1164" s="51">
        <f t="shared" si="22"/>
        <v>0</v>
      </c>
      <c r="J1164" s="51">
        <f t="shared" si="23"/>
        <v>347.28749999999997</v>
      </c>
      <c r="K1164" s="81">
        <f t="shared" si="24"/>
        <v>0.27560000000000001</v>
      </c>
      <c r="L1164" s="53">
        <v>0</v>
      </c>
      <c r="M1164" s="53">
        <f>+J1164*K1164</f>
        <v>95.712434999999999</v>
      </c>
      <c r="N1164" s="53">
        <f>+(J1164-M1164)*F1164</f>
        <v>30.189007799999995</v>
      </c>
      <c r="O1164" s="53">
        <f>+J1164-M1164+N1164</f>
        <v>281.76407279999995</v>
      </c>
      <c r="P1164" s="7" t="s">
        <v>45</v>
      </c>
      <c r="Q1164" s="95" t="s">
        <v>46</v>
      </c>
      <c r="R1164" s="7" t="s">
        <v>45</v>
      </c>
    </row>
    <row r="1165" spans="1:18" x14ac:dyDescent="0.25">
      <c r="B1165" s="2" t="s">
        <v>26</v>
      </c>
      <c r="C1165" s="12" t="s">
        <v>71</v>
      </c>
      <c r="D1165" s="95">
        <v>1925.36</v>
      </c>
      <c r="E1165" s="95" t="s">
        <v>287</v>
      </c>
      <c r="F1165" s="43">
        <v>0</v>
      </c>
      <c r="G1165" s="35" t="s">
        <v>292</v>
      </c>
      <c r="H1165" s="51">
        <v>0.87</v>
      </c>
      <c r="I1165" s="51">
        <f t="shared" si="22"/>
        <v>1675.0631999999998</v>
      </c>
      <c r="J1165" s="51">
        <f t="shared" si="23"/>
        <v>0</v>
      </c>
      <c r="K1165" s="81">
        <f t="shared" si="24"/>
        <v>0.27560000000000001</v>
      </c>
      <c r="L1165" s="53">
        <v>0</v>
      </c>
      <c r="M1165" s="53">
        <f>+I1165*K1165</f>
        <v>461.64741791999995</v>
      </c>
      <c r="N1165" s="53">
        <f>+(I1165-M1165)*F1165</f>
        <v>0</v>
      </c>
      <c r="O1165" s="53">
        <f>+I1165-M1165</f>
        <v>1213.4157820799999</v>
      </c>
      <c r="P1165" s="7" t="s">
        <v>45</v>
      </c>
      <c r="Q1165" s="95" t="s">
        <v>46</v>
      </c>
      <c r="R1165" s="7" t="s">
        <v>45</v>
      </c>
    </row>
    <row r="1166" spans="1:18" x14ac:dyDescent="0.25">
      <c r="B1166" s="2" t="s">
        <v>27</v>
      </c>
      <c r="C1166" s="3" t="s">
        <v>28</v>
      </c>
      <c r="D1166" s="95">
        <v>14.26</v>
      </c>
      <c r="E1166" s="95" t="s">
        <v>288</v>
      </c>
      <c r="F1166" s="43">
        <v>0</v>
      </c>
      <c r="G1166" s="35" t="s">
        <v>293</v>
      </c>
      <c r="H1166" s="10">
        <v>7.86</v>
      </c>
      <c r="I1166" s="10">
        <f t="shared" si="22"/>
        <v>112.0836</v>
      </c>
      <c r="J1166" s="10">
        <f t="shared" si="23"/>
        <v>0</v>
      </c>
      <c r="K1166" s="81">
        <f t="shared" si="24"/>
        <v>0.27560000000000001</v>
      </c>
      <c r="L1166" s="53">
        <v>0</v>
      </c>
      <c r="M1166" s="53">
        <f>+I1166*K1166</f>
        <v>30.890240160000001</v>
      </c>
      <c r="N1166" s="53">
        <f>+(I1166-M1166)*F1166</f>
        <v>0</v>
      </c>
      <c r="O1166" s="53">
        <f>+I1166-M1166</f>
        <v>81.193359839999999</v>
      </c>
      <c r="P1166" s="7" t="s">
        <v>45</v>
      </c>
      <c r="Q1166" s="95" t="s">
        <v>46</v>
      </c>
      <c r="R1166" s="7" t="s">
        <v>45</v>
      </c>
    </row>
    <row r="1167" spans="1:18" x14ac:dyDescent="0.25">
      <c r="B1167" s="2" t="s">
        <v>29</v>
      </c>
      <c r="C1167" s="3">
        <v>1</v>
      </c>
      <c r="D1167" s="95">
        <v>787.59</v>
      </c>
      <c r="E1167" s="95" t="s">
        <v>289</v>
      </c>
      <c r="F1167" s="43">
        <v>0</v>
      </c>
      <c r="G1167" s="35" t="s">
        <v>294</v>
      </c>
      <c r="H1167" s="10">
        <v>2.14</v>
      </c>
      <c r="I1167" s="10">
        <f t="shared" si="22"/>
        <v>1685.4426000000001</v>
      </c>
      <c r="J1167" s="10">
        <f t="shared" si="23"/>
        <v>0</v>
      </c>
      <c r="K1167" s="81">
        <f t="shared" si="24"/>
        <v>0.27560000000000001</v>
      </c>
      <c r="L1167" s="53">
        <v>0</v>
      </c>
      <c r="M1167" s="53">
        <f>+I1167*K1167</f>
        <v>464.50798056000002</v>
      </c>
      <c r="N1167" s="53">
        <f>+(I1167-M1167)*F1167</f>
        <v>0</v>
      </c>
      <c r="O1167" s="53">
        <f>+I1167-M1167</f>
        <v>1220.93461944</v>
      </c>
      <c r="P1167" s="7" t="s">
        <v>45</v>
      </c>
      <c r="Q1167" s="95" t="s">
        <v>46</v>
      </c>
      <c r="R1167" s="7" t="s">
        <v>45</v>
      </c>
    </row>
    <row r="1168" spans="1:18" x14ac:dyDescent="0.25">
      <c r="B1168" s="2" t="s">
        <v>30</v>
      </c>
      <c r="C1168" s="7">
        <v>1120335551</v>
      </c>
      <c r="D1168" s="80">
        <v>1</v>
      </c>
      <c r="E1168" s="95" t="s">
        <v>429</v>
      </c>
      <c r="F1168" s="43">
        <v>0.12</v>
      </c>
      <c r="G1168" s="95" t="s">
        <v>115</v>
      </c>
      <c r="H1168" s="10">
        <v>240</v>
      </c>
      <c r="I1168" s="10">
        <f t="shared" si="22"/>
        <v>0</v>
      </c>
      <c r="J1168" s="10">
        <f t="shared" si="23"/>
        <v>240</v>
      </c>
      <c r="K1168" s="81">
        <f t="shared" si="24"/>
        <v>0.27560000000000001</v>
      </c>
      <c r="L1168" s="53">
        <v>0</v>
      </c>
      <c r="M1168" s="53">
        <f>+J1168*K1168</f>
        <v>66.144000000000005</v>
      </c>
      <c r="N1168" s="53">
        <f>+(J1168-M1168)*F1168</f>
        <v>20.862719999999999</v>
      </c>
      <c r="O1168" s="53">
        <f>+J1168-M1168</f>
        <v>173.85599999999999</v>
      </c>
      <c r="P1168" s="35" t="s">
        <v>275</v>
      </c>
      <c r="Q1168" s="95" t="s">
        <v>274</v>
      </c>
      <c r="R1168" s="7" t="s">
        <v>25</v>
      </c>
    </row>
    <row r="1169" spans="1:18" ht="15.75" thickBot="1" x14ac:dyDescent="0.3">
      <c r="B1169" s="2" t="s">
        <v>31</v>
      </c>
      <c r="C1169" s="14">
        <v>43511</v>
      </c>
      <c r="D1169" s="39" t="s">
        <v>148</v>
      </c>
      <c r="E1169" s="49">
        <f>+SUM(I1162:I1167)</f>
        <v>3472.5893999999998</v>
      </c>
      <c r="G1169" s="23"/>
      <c r="H1169" s="41"/>
      <c r="I1169" s="41"/>
      <c r="J1169" s="41"/>
      <c r="K1169" s="23"/>
      <c r="L1169" s="41"/>
      <c r="M1169" s="41"/>
      <c r="N1169" s="42"/>
      <c r="O1169" s="23"/>
      <c r="P1169" s="23"/>
      <c r="Q1169" s="22"/>
    </row>
    <row r="1170" spans="1:18" ht="15.75" thickBot="1" x14ac:dyDescent="0.3">
      <c r="B1170" s="2" t="s">
        <v>32</v>
      </c>
      <c r="C1170" s="15" t="s">
        <v>33</v>
      </c>
      <c r="D1170" s="16" t="s">
        <v>36</v>
      </c>
      <c r="E1170" s="50">
        <f>+SUM(J1162:J1167)</f>
        <v>757.44550000000004</v>
      </c>
      <c r="I1170" s="138" t="s">
        <v>322</v>
      </c>
      <c r="J1170" s="138"/>
      <c r="K1170" s="139">
        <v>0.27560000000000001</v>
      </c>
    </row>
    <row r="1171" spans="1:18" ht="15.75" thickBot="1" x14ac:dyDescent="0.3">
      <c r="B1171" s="2" t="s">
        <v>35</v>
      </c>
      <c r="C1171" s="15" t="s">
        <v>33</v>
      </c>
      <c r="D1171" s="16" t="s">
        <v>39</v>
      </c>
      <c r="E1171" s="50">
        <f>SUM(M1162:M1167)</f>
        <v>1165.79761844</v>
      </c>
      <c r="I1171" s="138"/>
      <c r="J1171" s="138"/>
      <c r="K1171" s="139"/>
    </row>
    <row r="1172" spans="1:18" ht="15.75" thickBot="1" x14ac:dyDescent="0.3">
      <c r="B1172" s="2" t="s">
        <v>37</v>
      </c>
      <c r="C1172" s="15" t="s">
        <v>375</v>
      </c>
      <c r="D1172" s="16" t="s">
        <v>14</v>
      </c>
      <c r="E1172" s="50">
        <f>SUM(N1162:N1167)</f>
        <v>65.843222424000004</v>
      </c>
    </row>
    <row r="1173" spans="1:18" ht="15.75" thickBot="1" x14ac:dyDescent="0.3">
      <c r="B1173" s="18"/>
      <c r="C1173" s="18"/>
      <c r="D1173" s="16" t="s">
        <v>15</v>
      </c>
      <c r="E1173" s="50">
        <f>SUM(O1162:O1167)</f>
        <v>3130.0805039839997</v>
      </c>
    </row>
    <row r="1174" spans="1:18" x14ac:dyDescent="0.25">
      <c r="B1174" s="18"/>
      <c r="C1174" s="18"/>
    </row>
    <row r="1175" spans="1:18" x14ac:dyDescent="0.25">
      <c r="B1175" s="18"/>
      <c r="C1175" s="18"/>
    </row>
    <row r="1176" spans="1:18" x14ac:dyDescent="0.25">
      <c r="B1176" s="114" t="s">
        <v>457</v>
      </c>
      <c r="C1176" s="114"/>
      <c r="D1176" s="114"/>
      <c r="E1176" s="114"/>
      <c r="F1176" s="114"/>
      <c r="G1176" s="114"/>
      <c r="H1176" s="114"/>
      <c r="I1176" s="114"/>
      <c r="J1176" s="114"/>
      <c r="K1176" s="114"/>
      <c r="L1176" s="114"/>
      <c r="M1176" s="114"/>
      <c r="N1176" s="114"/>
      <c r="O1176" s="114"/>
    </row>
    <row r="1177" spans="1:18" x14ac:dyDescent="0.25">
      <c r="B1177" s="2" t="s">
        <v>86</v>
      </c>
      <c r="C1177" s="21" t="s">
        <v>87</v>
      </c>
      <c r="D1177" s="22"/>
      <c r="F1177" s="23"/>
      <c r="H1177" s="23"/>
      <c r="I1177" s="23"/>
      <c r="J1177" s="24"/>
      <c r="K1177" s="24"/>
      <c r="L1177" s="25"/>
      <c r="M1177" s="26"/>
      <c r="N1177" s="22"/>
      <c r="O1177" s="22"/>
    </row>
    <row r="1178" spans="1:18" x14ac:dyDescent="0.25">
      <c r="B1178" s="2" t="s">
        <v>59</v>
      </c>
      <c r="C1178" s="21" t="s">
        <v>84</v>
      </c>
      <c r="D1178" s="22"/>
      <c r="E1178" s="23"/>
      <c r="F1178" s="23"/>
      <c r="H1178" s="23"/>
      <c r="I1178" s="23"/>
      <c r="J1178" s="24"/>
      <c r="K1178" s="24"/>
      <c r="L1178" s="25"/>
      <c r="M1178" s="26"/>
      <c r="N1178" s="22"/>
      <c r="O1178" s="22"/>
    </row>
    <row r="1179" spans="1:18" x14ac:dyDescent="0.25">
      <c r="B1179" s="2" t="s">
        <v>60</v>
      </c>
      <c r="C1179" s="21" t="s">
        <v>85</v>
      </c>
      <c r="D1179" s="22"/>
      <c r="E1179" s="28" t="s">
        <v>279</v>
      </c>
      <c r="F1179" s="23"/>
      <c r="H1179" s="23"/>
      <c r="I1179" s="23"/>
      <c r="J1179" s="24"/>
      <c r="K1179" s="24"/>
      <c r="L1179" s="25"/>
      <c r="M1179" s="26"/>
      <c r="N1179" s="22"/>
      <c r="O1179" s="22"/>
    </row>
    <row r="1180" spans="1:18" x14ac:dyDescent="0.25">
      <c r="B1180" s="2" t="s">
        <v>61</v>
      </c>
      <c r="C1180" s="27">
        <f>+E1173</f>
        <v>3130.0805039839997</v>
      </c>
      <c r="D1180" s="22"/>
      <c r="E1180" s="28"/>
      <c r="G1180" s="23"/>
      <c r="H1180" s="24"/>
      <c r="I1180" s="24"/>
      <c r="J1180" s="24"/>
      <c r="K1180" s="25"/>
      <c r="L1180" s="26"/>
      <c r="M1180" s="22"/>
      <c r="N1180" s="22"/>
    </row>
    <row r="1183" spans="1:18" ht="26.25" x14ac:dyDescent="0.25">
      <c r="A1183" s="78" t="s">
        <v>302</v>
      </c>
      <c r="B1183" s="78" t="s">
        <v>93</v>
      </c>
      <c r="C1183" s="94" t="s">
        <v>452</v>
      </c>
      <c r="D1183" s="137" t="s">
        <v>321</v>
      </c>
      <c r="E1183" s="137"/>
      <c r="F1183" s="137"/>
    </row>
    <row r="1184" spans="1:18" x14ac:dyDescent="0.25">
      <c r="B1184" s="112" t="s">
        <v>398</v>
      </c>
      <c r="C1184" s="113"/>
      <c r="D1184" s="113"/>
      <c r="E1184" s="113"/>
      <c r="F1184" s="113"/>
      <c r="G1184" s="113"/>
      <c r="H1184" s="113"/>
      <c r="I1184" s="113"/>
      <c r="J1184" s="113"/>
      <c r="K1184" s="113"/>
      <c r="L1184" s="113"/>
      <c r="M1184" s="113"/>
      <c r="N1184" s="113"/>
      <c r="O1184" s="113"/>
      <c r="P1184" s="113"/>
      <c r="Q1184" s="113"/>
      <c r="R1184" s="113"/>
    </row>
    <row r="1185" spans="2:18" x14ac:dyDescent="0.25">
      <c r="B1185" s="2" t="s">
        <v>6</v>
      </c>
      <c r="C1185" s="3" t="s">
        <v>7</v>
      </c>
      <c r="D1185" s="100" t="s">
        <v>8</v>
      </c>
      <c r="E1185" s="5" t="s">
        <v>9</v>
      </c>
      <c r="F1185" s="5" t="s">
        <v>14</v>
      </c>
      <c r="G1185" s="5" t="s">
        <v>10</v>
      </c>
      <c r="H1185" s="5" t="s">
        <v>11</v>
      </c>
      <c r="I1185" s="5" t="s">
        <v>148</v>
      </c>
      <c r="J1185" s="5" t="s">
        <v>149</v>
      </c>
      <c r="K1185" s="5" t="s">
        <v>12</v>
      </c>
      <c r="L1185" s="5" t="s">
        <v>13</v>
      </c>
      <c r="M1185" s="5" t="s">
        <v>40</v>
      </c>
      <c r="N1185" s="5" t="s">
        <v>14</v>
      </c>
      <c r="O1185" s="5" t="s">
        <v>15</v>
      </c>
      <c r="P1185" s="5" t="s">
        <v>16</v>
      </c>
      <c r="Q1185" s="5" t="s">
        <v>17</v>
      </c>
      <c r="R1185" s="5" t="s">
        <v>18</v>
      </c>
    </row>
    <row r="1186" spans="2:18" x14ac:dyDescent="0.25">
      <c r="B1186" s="2" t="s">
        <v>19</v>
      </c>
      <c r="C1186" s="6" t="s">
        <v>20</v>
      </c>
      <c r="D1186" s="95">
        <v>48.26</v>
      </c>
      <c r="E1186" s="95" t="s">
        <v>107</v>
      </c>
      <c r="F1186" s="43">
        <v>0.12</v>
      </c>
      <c r="G1186" s="35" t="s">
        <v>108</v>
      </c>
      <c r="H1186" s="51">
        <v>1.26</v>
      </c>
      <c r="I1186" s="51">
        <f>+IF(F1186=0%,D1186*H1186,0)</f>
        <v>0</v>
      </c>
      <c r="J1186" s="51">
        <f>+IF(F1186=12%,D1186*H1186,0)</f>
        <v>60.807600000000001</v>
      </c>
      <c r="K1186" s="81">
        <f>+$K$1194</f>
        <v>0.32569999999999999</v>
      </c>
      <c r="L1186" s="53">
        <v>0</v>
      </c>
      <c r="M1186" s="53">
        <f>+J1186*K1186</f>
        <v>19.805035319999998</v>
      </c>
      <c r="N1186" s="53">
        <f>+(J1186-M1186)*F1186</f>
        <v>4.9203077616000002</v>
      </c>
      <c r="O1186" s="53">
        <f>+J1186-M1186+N1186</f>
        <v>45.922872441600006</v>
      </c>
      <c r="P1186" s="7" t="s">
        <v>45</v>
      </c>
      <c r="Q1186" s="7" t="s">
        <v>46</v>
      </c>
      <c r="R1186" s="7" t="s">
        <v>45</v>
      </c>
    </row>
    <row r="1187" spans="2:18" x14ac:dyDescent="0.25">
      <c r="B1187" s="2" t="s">
        <v>21</v>
      </c>
      <c r="C1187" s="15" t="s">
        <v>22</v>
      </c>
      <c r="D1187" s="95">
        <v>356.48</v>
      </c>
      <c r="E1187" s="95" t="s">
        <v>109</v>
      </c>
      <c r="F1187" s="43">
        <v>0.12</v>
      </c>
      <c r="G1187" s="35" t="s">
        <v>110</v>
      </c>
      <c r="H1187" s="51">
        <v>0.98</v>
      </c>
      <c r="I1187" s="51">
        <f t="shared" ref="I1187:I1192" si="25">+IF(F1187=0%,D1187*H1187,0)</f>
        <v>0</v>
      </c>
      <c r="J1187" s="51">
        <f t="shared" ref="J1187:J1192" si="26">+IF(F1187=12%,D1187*H1187,0)</f>
        <v>349.35040000000004</v>
      </c>
      <c r="K1187" s="81">
        <f t="shared" ref="K1187:K1192" si="27">+$K$1194</f>
        <v>0.32569999999999999</v>
      </c>
      <c r="L1187" s="53">
        <v>0</v>
      </c>
      <c r="M1187" s="53">
        <f>+J1187*K1187</f>
        <v>113.78342528</v>
      </c>
      <c r="N1187" s="53">
        <f>+(J1187-M1187)*F1187</f>
        <v>28.2680369664</v>
      </c>
      <c r="O1187" s="53">
        <f>+J1187-M1187+N1187</f>
        <v>263.83501168640004</v>
      </c>
      <c r="P1187" s="7" t="s">
        <v>45</v>
      </c>
      <c r="Q1187" s="95" t="s">
        <v>46</v>
      </c>
      <c r="R1187" s="7" t="s">
        <v>45</v>
      </c>
    </row>
    <row r="1188" spans="2:18" ht="30" x14ac:dyDescent="0.25">
      <c r="B1188" s="2" t="s">
        <v>23</v>
      </c>
      <c r="C1188" s="8" t="s">
        <v>70</v>
      </c>
      <c r="D1188" s="95">
        <v>277.83</v>
      </c>
      <c r="E1188" s="95" t="s">
        <v>111</v>
      </c>
      <c r="F1188" s="43">
        <v>0.12</v>
      </c>
      <c r="G1188" s="35" t="s">
        <v>112</v>
      </c>
      <c r="H1188" s="51">
        <v>1.25</v>
      </c>
      <c r="I1188" s="51">
        <f t="shared" si="25"/>
        <v>0</v>
      </c>
      <c r="J1188" s="51">
        <f t="shared" si="26"/>
        <v>347.28749999999997</v>
      </c>
      <c r="K1188" s="81">
        <f t="shared" si="27"/>
        <v>0.32569999999999999</v>
      </c>
      <c r="L1188" s="53">
        <v>0</v>
      </c>
      <c r="M1188" s="53">
        <f>+J1188*K1188</f>
        <v>113.11153874999998</v>
      </c>
      <c r="N1188" s="53">
        <f>+(J1188-M1188)*F1188</f>
        <v>28.101115350000001</v>
      </c>
      <c r="O1188" s="53">
        <f>+J1188-M1188+N1188</f>
        <v>262.27707659999999</v>
      </c>
      <c r="P1188" s="7" t="s">
        <v>45</v>
      </c>
      <c r="Q1188" s="95" t="s">
        <v>46</v>
      </c>
      <c r="R1188" s="7" t="s">
        <v>45</v>
      </c>
    </row>
    <row r="1189" spans="2:18" x14ac:dyDescent="0.25">
      <c r="B1189" s="2" t="s">
        <v>26</v>
      </c>
      <c r="C1189" s="12" t="s">
        <v>71</v>
      </c>
      <c r="D1189" s="95">
        <v>1925.36</v>
      </c>
      <c r="E1189" s="95" t="s">
        <v>287</v>
      </c>
      <c r="F1189" s="43">
        <v>0</v>
      </c>
      <c r="G1189" s="35" t="s">
        <v>292</v>
      </c>
      <c r="H1189" s="51">
        <v>0.87</v>
      </c>
      <c r="I1189" s="51">
        <f t="shared" si="25"/>
        <v>1675.0631999999998</v>
      </c>
      <c r="J1189" s="51">
        <f t="shared" si="26"/>
        <v>0</v>
      </c>
      <c r="K1189" s="81">
        <f t="shared" si="27"/>
        <v>0.32569999999999999</v>
      </c>
      <c r="L1189" s="53">
        <v>0</v>
      </c>
      <c r="M1189" s="53">
        <f>+I1189*K1189</f>
        <v>545.56808423999996</v>
      </c>
      <c r="N1189" s="53">
        <f>+(I1189-M1189)*F1189</f>
        <v>0</v>
      </c>
      <c r="O1189" s="53">
        <f>+I1189-M1189</f>
        <v>1129.4951157599999</v>
      </c>
      <c r="P1189" s="7" t="s">
        <v>45</v>
      </c>
      <c r="Q1189" s="95" t="s">
        <v>46</v>
      </c>
      <c r="R1189" s="7" t="s">
        <v>45</v>
      </c>
    </row>
    <row r="1190" spans="2:18" x14ac:dyDescent="0.25">
      <c r="B1190" s="2" t="s">
        <v>27</v>
      </c>
      <c r="C1190" s="3" t="s">
        <v>28</v>
      </c>
      <c r="D1190" s="95">
        <v>14.26</v>
      </c>
      <c r="E1190" s="95" t="s">
        <v>288</v>
      </c>
      <c r="F1190" s="43">
        <v>0</v>
      </c>
      <c r="G1190" s="35" t="s">
        <v>293</v>
      </c>
      <c r="H1190" s="10">
        <v>7.86</v>
      </c>
      <c r="I1190" s="10">
        <f t="shared" si="25"/>
        <v>112.0836</v>
      </c>
      <c r="J1190" s="10">
        <f t="shared" si="26"/>
        <v>0</v>
      </c>
      <c r="K1190" s="81">
        <f t="shared" si="27"/>
        <v>0.32569999999999999</v>
      </c>
      <c r="L1190" s="53">
        <v>0</v>
      </c>
      <c r="M1190" s="53">
        <f>+I1190*K1190</f>
        <v>36.505628520000002</v>
      </c>
      <c r="N1190" s="53">
        <f>+(I1190-M1190)*F1190</f>
        <v>0</v>
      </c>
      <c r="O1190" s="53">
        <f>+I1190-M1190</f>
        <v>75.577971480000002</v>
      </c>
      <c r="P1190" s="7" t="s">
        <v>45</v>
      </c>
      <c r="Q1190" s="95" t="s">
        <v>46</v>
      </c>
      <c r="R1190" s="7" t="s">
        <v>45</v>
      </c>
    </row>
    <row r="1191" spans="2:18" x14ac:dyDescent="0.25">
      <c r="B1191" s="2" t="s">
        <v>29</v>
      </c>
      <c r="C1191" s="3">
        <v>1</v>
      </c>
      <c r="D1191" s="95">
        <v>787.59</v>
      </c>
      <c r="E1191" s="95" t="s">
        <v>289</v>
      </c>
      <c r="F1191" s="43">
        <v>0</v>
      </c>
      <c r="G1191" s="35" t="s">
        <v>294</v>
      </c>
      <c r="H1191" s="10">
        <v>2.14</v>
      </c>
      <c r="I1191" s="10">
        <f t="shared" si="25"/>
        <v>1685.4426000000001</v>
      </c>
      <c r="J1191" s="10">
        <f t="shared" si="26"/>
        <v>0</v>
      </c>
      <c r="K1191" s="81">
        <f t="shared" si="27"/>
        <v>0.32569999999999999</v>
      </c>
      <c r="L1191" s="53">
        <v>0</v>
      </c>
      <c r="M1191" s="53">
        <f>+I1191*K1191</f>
        <v>548.94865482</v>
      </c>
      <c r="N1191" s="53">
        <f>+(I1191-M1191)*F1191</f>
        <v>0</v>
      </c>
      <c r="O1191" s="53">
        <f>+I1191-M1191</f>
        <v>1136.4939451800001</v>
      </c>
      <c r="P1191" s="7" t="s">
        <v>45</v>
      </c>
      <c r="Q1191" s="95" t="s">
        <v>46</v>
      </c>
      <c r="R1191" s="7" t="s">
        <v>45</v>
      </c>
    </row>
    <row r="1192" spans="2:18" x14ac:dyDescent="0.25">
      <c r="B1192" s="2" t="s">
        <v>30</v>
      </c>
      <c r="C1192" s="7">
        <v>1120335551</v>
      </c>
      <c r="D1192" s="80">
        <v>1</v>
      </c>
      <c r="E1192" s="95" t="s">
        <v>429</v>
      </c>
      <c r="F1192" s="43">
        <v>0.12</v>
      </c>
      <c r="G1192" s="95" t="s">
        <v>115</v>
      </c>
      <c r="H1192" s="10">
        <v>240</v>
      </c>
      <c r="I1192" s="10">
        <f t="shared" si="25"/>
        <v>0</v>
      </c>
      <c r="J1192" s="10">
        <f t="shared" si="26"/>
        <v>240</v>
      </c>
      <c r="K1192" s="81">
        <f t="shared" si="27"/>
        <v>0.32569999999999999</v>
      </c>
      <c r="L1192" s="53">
        <v>0</v>
      </c>
      <c r="M1192" s="53">
        <f>+J1192*K1192</f>
        <v>78.167999999999992</v>
      </c>
      <c r="N1192" s="53">
        <f>+(J1192-M1192)*F1192</f>
        <v>19.419839999999997</v>
      </c>
      <c r="O1192" s="53">
        <f>+J1192-M1192</f>
        <v>161.83199999999999</v>
      </c>
      <c r="P1192" s="35" t="s">
        <v>275</v>
      </c>
      <c r="Q1192" s="95" t="s">
        <v>274</v>
      </c>
      <c r="R1192" s="7" t="s">
        <v>25</v>
      </c>
    </row>
    <row r="1193" spans="2:18" ht="15.75" thickBot="1" x14ac:dyDescent="0.3">
      <c r="B1193" s="2" t="s">
        <v>31</v>
      </c>
      <c r="C1193" s="14">
        <v>43511</v>
      </c>
      <c r="D1193" s="39" t="s">
        <v>148</v>
      </c>
      <c r="E1193" s="49">
        <f>+SUM(I1186:I1191)</f>
        <v>3472.5893999999998</v>
      </c>
      <c r="G1193" s="23"/>
      <c r="H1193" s="41"/>
      <c r="I1193" s="41"/>
      <c r="J1193" s="41"/>
      <c r="K1193" s="23"/>
      <c r="L1193" s="41"/>
      <c r="M1193" s="41"/>
      <c r="N1193" s="42"/>
      <c r="O1193" s="23"/>
      <c r="P1193" s="23"/>
      <c r="Q1193" s="22"/>
    </row>
    <row r="1194" spans="2:18" ht="15.75" thickBot="1" x14ac:dyDescent="0.3">
      <c r="B1194" s="2" t="s">
        <v>32</v>
      </c>
      <c r="C1194" s="15" t="s">
        <v>33</v>
      </c>
      <c r="D1194" s="16" t="s">
        <v>36</v>
      </c>
      <c r="E1194" s="50">
        <f>+SUM(J1186:J1191)</f>
        <v>757.44550000000004</v>
      </c>
      <c r="I1194" s="138" t="s">
        <v>322</v>
      </c>
      <c r="J1194" s="138"/>
      <c r="K1194" s="139">
        <v>0.32569999999999999</v>
      </c>
    </row>
    <row r="1195" spans="2:18" ht="15.75" thickBot="1" x14ac:dyDescent="0.3">
      <c r="B1195" s="2" t="s">
        <v>35</v>
      </c>
      <c r="C1195" s="15" t="s">
        <v>33</v>
      </c>
      <c r="D1195" s="16" t="s">
        <v>39</v>
      </c>
      <c r="E1195" s="50">
        <f>SUM(M1186:M1191)</f>
        <v>1377.7223669299999</v>
      </c>
      <c r="I1195" s="138"/>
      <c r="J1195" s="138"/>
      <c r="K1195" s="139"/>
    </row>
    <row r="1196" spans="2:18" ht="15.75" thickBot="1" x14ac:dyDescent="0.3">
      <c r="B1196" s="2" t="s">
        <v>37</v>
      </c>
      <c r="C1196" s="15" t="s">
        <v>376</v>
      </c>
      <c r="D1196" s="16" t="s">
        <v>14</v>
      </c>
      <c r="E1196" s="50">
        <f>SUM(N1186:N1191)</f>
        <v>61.289460078000005</v>
      </c>
    </row>
    <row r="1197" spans="2:18" ht="15.75" thickBot="1" x14ac:dyDescent="0.3">
      <c r="B1197" s="18"/>
      <c r="C1197" s="18"/>
      <c r="D1197" s="16" t="s">
        <v>15</v>
      </c>
      <c r="E1197" s="50">
        <f>SUM(O1186:O1191)</f>
        <v>2913.601993148</v>
      </c>
    </row>
    <row r="1198" spans="2:18" x14ac:dyDescent="0.25">
      <c r="B1198" s="18"/>
      <c r="C1198" s="18"/>
    </row>
    <row r="1199" spans="2:18" x14ac:dyDescent="0.25">
      <c r="B1199" s="18"/>
      <c r="C1199" s="18"/>
    </row>
    <row r="1200" spans="2:18" x14ac:dyDescent="0.25">
      <c r="B1200" s="114" t="s">
        <v>457</v>
      </c>
      <c r="C1200" s="114"/>
      <c r="D1200" s="114"/>
      <c r="E1200" s="114"/>
      <c r="F1200" s="114"/>
      <c r="G1200" s="114"/>
      <c r="H1200" s="114"/>
      <c r="I1200" s="114"/>
      <c r="J1200" s="114"/>
      <c r="K1200" s="114"/>
      <c r="L1200" s="114"/>
      <c r="M1200" s="114"/>
      <c r="N1200" s="114"/>
      <c r="O1200" s="114"/>
    </row>
    <row r="1201" spans="1:18" x14ac:dyDescent="0.25">
      <c r="B1201" s="2" t="s">
        <v>86</v>
      </c>
      <c r="C1201" s="21" t="s">
        <v>87</v>
      </c>
      <c r="D1201" s="22"/>
      <c r="F1201" s="23"/>
      <c r="H1201" s="23"/>
      <c r="I1201" s="23"/>
      <c r="J1201" s="24"/>
      <c r="K1201" s="24"/>
      <c r="L1201" s="25"/>
      <c r="M1201" s="26"/>
      <c r="N1201" s="22"/>
      <c r="O1201" s="22"/>
    </row>
    <row r="1202" spans="1:18" x14ac:dyDescent="0.25">
      <c r="B1202" s="2" t="s">
        <v>59</v>
      </c>
      <c r="C1202" s="21" t="s">
        <v>88</v>
      </c>
      <c r="D1202" s="22"/>
      <c r="E1202" s="23"/>
      <c r="F1202" s="23"/>
      <c r="H1202" s="23"/>
      <c r="I1202" s="23"/>
      <c r="J1202" s="24"/>
      <c r="K1202" s="24"/>
      <c r="L1202" s="25"/>
      <c r="M1202" s="26"/>
      <c r="N1202" s="22"/>
      <c r="O1202" s="22"/>
    </row>
    <row r="1203" spans="1:18" x14ac:dyDescent="0.25">
      <c r="B1203" s="2" t="s">
        <v>60</v>
      </c>
      <c r="C1203" s="21" t="s">
        <v>89</v>
      </c>
      <c r="D1203" s="22"/>
      <c r="E1203" s="28" t="s">
        <v>279</v>
      </c>
      <c r="F1203" s="23"/>
      <c r="H1203" s="23"/>
      <c r="I1203" s="23"/>
      <c r="J1203" s="24"/>
      <c r="K1203" s="24"/>
      <c r="L1203" s="25"/>
      <c r="M1203" s="26"/>
      <c r="N1203" s="22"/>
      <c r="O1203" s="22"/>
    </row>
    <row r="1204" spans="1:18" x14ac:dyDescent="0.25">
      <c r="B1204" s="2" t="s">
        <v>61</v>
      </c>
      <c r="C1204" s="27">
        <f>+E1197</f>
        <v>2913.601993148</v>
      </c>
      <c r="D1204" s="22"/>
      <c r="E1204" s="28"/>
      <c r="G1204" s="23"/>
      <c r="H1204" s="24"/>
      <c r="I1204" s="24"/>
      <c r="J1204" s="24"/>
      <c r="K1204" s="25"/>
      <c r="L1204" s="26"/>
      <c r="M1204" s="22"/>
      <c r="N1204" s="22"/>
    </row>
    <row r="1207" spans="1:18" ht="26.25" x14ac:dyDescent="0.4">
      <c r="A1207" s="78" t="s">
        <v>302</v>
      </c>
      <c r="B1207" s="34" t="s">
        <v>94</v>
      </c>
      <c r="C1207" s="93" t="s">
        <v>453</v>
      </c>
      <c r="D1207" s="137" t="s">
        <v>321</v>
      </c>
      <c r="E1207" s="137"/>
      <c r="F1207" s="137"/>
    </row>
    <row r="1208" spans="1:18" x14ac:dyDescent="0.25">
      <c r="B1208" s="112" t="s">
        <v>398</v>
      </c>
      <c r="C1208" s="113"/>
      <c r="D1208" s="113"/>
      <c r="E1208" s="113"/>
      <c r="F1208" s="113"/>
      <c r="G1208" s="113"/>
      <c r="H1208" s="113"/>
      <c r="I1208" s="113"/>
      <c r="J1208" s="113"/>
      <c r="K1208" s="113"/>
      <c r="L1208" s="113"/>
      <c r="M1208" s="113"/>
      <c r="N1208" s="113"/>
      <c r="O1208" s="113"/>
      <c r="P1208" s="113"/>
      <c r="Q1208" s="113"/>
      <c r="R1208" s="113"/>
    </row>
    <row r="1209" spans="1:18" x14ac:dyDescent="0.25">
      <c r="B1209" s="2" t="s">
        <v>6</v>
      </c>
      <c r="C1209" s="3" t="s">
        <v>7</v>
      </c>
      <c r="D1209" s="100" t="s">
        <v>8</v>
      </c>
      <c r="E1209" s="5" t="s">
        <v>9</v>
      </c>
      <c r="F1209" s="5" t="s">
        <v>14</v>
      </c>
      <c r="G1209" s="5" t="s">
        <v>10</v>
      </c>
      <c r="H1209" s="5" t="s">
        <v>11</v>
      </c>
      <c r="I1209" s="5" t="s">
        <v>148</v>
      </c>
      <c r="J1209" s="5" t="s">
        <v>149</v>
      </c>
      <c r="K1209" s="5" t="s">
        <v>12</v>
      </c>
      <c r="L1209" s="5" t="s">
        <v>13</v>
      </c>
      <c r="M1209" s="5" t="s">
        <v>40</v>
      </c>
      <c r="N1209" s="5" t="s">
        <v>14</v>
      </c>
      <c r="O1209" s="5" t="s">
        <v>15</v>
      </c>
      <c r="P1209" s="5" t="s">
        <v>16</v>
      </c>
      <c r="Q1209" s="5" t="s">
        <v>17</v>
      </c>
      <c r="R1209" s="5" t="s">
        <v>18</v>
      </c>
    </row>
    <row r="1210" spans="1:18" x14ac:dyDescent="0.25">
      <c r="B1210" s="2" t="s">
        <v>19</v>
      </c>
      <c r="C1210" s="6" t="s">
        <v>20</v>
      </c>
      <c r="D1210" s="95">
        <v>48.26</v>
      </c>
      <c r="E1210" s="95" t="s">
        <v>107</v>
      </c>
      <c r="F1210" s="43">
        <v>0.12</v>
      </c>
      <c r="G1210" s="35" t="s">
        <v>108</v>
      </c>
      <c r="H1210" s="51">
        <v>1.26</v>
      </c>
      <c r="I1210" s="51">
        <f>+IF(F1210=0%,D1210*H1210,0)</f>
        <v>0</v>
      </c>
      <c r="J1210" s="51">
        <f>+IF(F1210=12%,D1210*H1210,0)</f>
        <v>60.807600000000001</v>
      </c>
      <c r="K1210" s="81">
        <f>+$K$1218</f>
        <v>0.27772999999999998</v>
      </c>
      <c r="L1210" s="53">
        <v>0</v>
      </c>
      <c r="M1210" s="53">
        <f>+J1210*K1210</f>
        <v>16.888094748</v>
      </c>
      <c r="N1210" s="53">
        <f>+(J1210-M1210)*F1210</f>
        <v>5.2703406302399998</v>
      </c>
      <c r="O1210" s="53">
        <f>+J1210-M1210+N1210</f>
        <v>49.18984588224</v>
      </c>
      <c r="P1210" s="7" t="s">
        <v>45</v>
      </c>
      <c r="Q1210" s="7" t="s">
        <v>46</v>
      </c>
      <c r="R1210" s="7" t="s">
        <v>45</v>
      </c>
    </row>
    <row r="1211" spans="1:18" x14ac:dyDescent="0.25">
      <c r="B1211" s="2" t="s">
        <v>21</v>
      </c>
      <c r="C1211" s="15" t="s">
        <v>22</v>
      </c>
      <c r="D1211" s="95">
        <v>356.48</v>
      </c>
      <c r="E1211" s="95" t="s">
        <v>109</v>
      </c>
      <c r="F1211" s="43">
        <v>0.12</v>
      </c>
      <c r="G1211" s="35" t="s">
        <v>110</v>
      </c>
      <c r="H1211" s="51">
        <v>0.98</v>
      </c>
      <c r="I1211" s="51">
        <f t="shared" ref="I1211:I1216" si="28">+IF(F1211=0%,D1211*H1211,0)</f>
        <v>0</v>
      </c>
      <c r="J1211" s="51">
        <f t="shared" ref="J1211:J1216" si="29">+IF(F1211=12%,D1211*H1211,0)</f>
        <v>349.35040000000004</v>
      </c>
      <c r="K1211" s="81">
        <f t="shared" ref="K1211:K1216" si="30">+$K$1218</f>
        <v>0.27772999999999998</v>
      </c>
      <c r="L1211" s="53">
        <v>0</v>
      </c>
      <c r="M1211" s="53">
        <f>+J1211*K1211</f>
        <v>97.025086592000008</v>
      </c>
      <c r="N1211" s="53">
        <f>+(J1211-M1211)*F1211</f>
        <v>30.279037608960003</v>
      </c>
      <c r="O1211" s="53">
        <f>+J1211-M1211+N1211</f>
        <v>282.60435101696004</v>
      </c>
      <c r="P1211" s="7" t="s">
        <v>45</v>
      </c>
      <c r="Q1211" s="95" t="s">
        <v>46</v>
      </c>
      <c r="R1211" s="7" t="s">
        <v>45</v>
      </c>
    </row>
    <row r="1212" spans="1:18" ht="30" x14ac:dyDescent="0.25">
      <c r="B1212" s="2" t="s">
        <v>23</v>
      </c>
      <c r="C1212" s="30" t="s">
        <v>70</v>
      </c>
      <c r="D1212" s="95">
        <v>277.83</v>
      </c>
      <c r="E1212" s="95" t="s">
        <v>111</v>
      </c>
      <c r="F1212" s="43">
        <v>0.12</v>
      </c>
      <c r="G1212" s="35" t="s">
        <v>112</v>
      </c>
      <c r="H1212" s="51">
        <v>1.25</v>
      </c>
      <c r="I1212" s="51">
        <f t="shared" si="28"/>
        <v>0</v>
      </c>
      <c r="J1212" s="51">
        <f t="shared" si="29"/>
        <v>347.28749999999997</v>
      </c>
      <c r="K1212" s="81">
        <f t="shared" si="30"/>
        <v>0.27772999999999998</v>
      </c>
      <c r="L1212" s="53">
        <v>0</v>
      </c>
      <c r="M1212" s="53">
        <f>+J1212*K1212</f>
        <v>96.452157374999985</v>
      </c>
      <c r="N1212" s="53">
        <f>+(J1212-M1212)*F1212</f>
        <v>30.100241114999996</v>
      </c>
      <c r="O1212" s="53">
        <f>+J1212-M1212+N1212</f>
        <v>280.93558373999997</v>
      </c>
      <c r="P1212" s="7" t="s">
        <v>45</v>
      </c>
      <c r="Q1212" s="95" t="s">
        <v>46</v>
      </c>
      <c r="R1212" s="7" t="s">
        <v>45</v>
      </c>
    </row>
    <row r="1213" spans="1:18" x14ac:dyDescent="0.25">
      <c r="B1213" s="2" t="s">
        <v>26</v>
      </c>
      <c r="C1213" s="12" t="s">
        <v>71</v>
      </c>
      <c r="D1213" s="95">
        <v>1925.36</v>
      </c>
      <c r="E1213" s="95" t="s">
        <v>287</v>
      </c>
      <c r="F1213" s="43">
        <v>0</v>
      </c>
      <c r="G1213" s="35" t="s">
        <v>292</v>
      </c>
      <c r="H1213" s="51">
        <v>0.87</v>
      </c>
      <c r="I1213" s="51">
        <f t="shared" si="28"/>
        <v>1675.0631999999998</v>
      </c>
      <c r="J1213" s="51">
        <f t="shared" si="29"/>
        <v>0</v>
      </c>
      <c r="K1213" s="81">
        <f t="shared" si="30"/>
        <v>0.27772999999999998</v>
      </c>
      <c r="L1213" s="53">
        <v>0</v>
      </c>
      <c r="M1213" s="53">
        <f>+I1213*K1213</f>
        <v>465.21530253599991</v>
      </c>
      <c r="N1213" s="53">
        <f>+(I1213-M1213)*F1213</f>
        <v>0</v>
      </c>
      <c r="O1213" s="53">
        <f>+I1213-M1213</f>
        <v>1209.847897464</v>
      </c>
      <c r="P1213" s="7" t="s">
        <v>45</v>
      </c>
      <c r="Q1213" s="95" t="s">
        <v>46</v>
      </c>
      <c r="R1213" s="7" t="s">
        <v>45</v>
      </c>
    </row>
    <row r="1214" spans="1:18" x14ac:dyDescent="0.25">
      <c r="B1214" s="2" t="s">
        <v>27</v>
      </c>
      <c r="C1214" s="3" t="s">
        <v>28</v>
      </c>
      <c r="D1214" s="95">
        <v>14.26</v>
      </c>
      <c r="E1214" s="95" t="s">
        <v>288</v>
      </c>
      <c r="F1214" s="43">
        <v>0</v>
      </c>
      <c r="G1214" s="35" t="s">
        <v>293</v>
      </c>
      <c r="H1214" s="10">
        <v>7.86</v>
      </c>
      <c r="I1214" s="10">
        <f t="shared" si="28"/>
        <v>112.0836</v>
      </c>
      <c r="J1214" s="10">
        <f t="shared" si="29"/>
        <v>0</v>
      </c>
      <c r="K1214" s="81">
        <f t="shared" si="30"/>
        <v>0.27772999999999998</v>
      </c>
      <c r="L1214" s="53">
        <v>0</v>
      </c>
      <c r="M1214" s="53">
        <f>+I1214*K1214</f>
        <v>31.128978227999998</v>
      </c>
      <c r="N1214" s="53">
        <f>+(I1214-M1214)*F1214</f>
        <v>0</v>
      </c>
      <c r="O1214" s="53">
        <f>+I1214-M1214</f>
        <v>80.95462177200001</v>
      </c>
      <c r="P1214" s="7" t="s">
        <v>45</v>
      </c>
      <c r="Q1214" s="95" t="s">
        <v>46</v>
      </c>
      <c r="R1214" s="7" t="s">
        <v>45</v>
      </c>
    </row>
    <row r="1215" spans="1:18" x14ac:dyDescent="0.25">
      <c r="B1215" s="2" t="s">
        <v>29</v>
      </c>
      <c r="C1215" s="3">
        <v>1</v>
      </c>
      <c r="D1215" s="95">
        <v>787.59</v>
      </c>
      <c r="E1215" s="95" t="s">
        <v>289</v>
      </c>
      <c r="F1215" s="43">
        <v>0</v>
      </c>
      <c r="G1215" s="35" t="s">
        <v>294</v>
      </c>
      <c r="H1215" s="10">
        <v>2.14</v>
      </c>
      <c r="I1215" s="10">
        <f t="shared" si="28"/>
        <v>1685.4426000000001</v>
      </c>
      <c r="J1215" s="10">
        <f t="shared" si="29"/>
        <v>0</v>
      </c>
      <c r="K1215" s="81">
        <f t="shared" si="30"/>
        <v>0.27772999999999998</v>
      </c>
      <c r="L1215" s="53">
        <v>0</v>
      </c>
      <c r="M1215" s="53">
        <f>+I1215*K1215</f>
        <v>468.097973298</v>
      </c>
      <c r="N1215" s="53">
        <f>+(I1215-M1215)*F1215</f>
        <v>0</v>
      </c>
      <c r="O1215" s="53">
        <f>+I1215-M1215</f>
        <v>1217.3446267020001</v>
      </c>
      <c r="P1215" s="7" t="s">
        <v>45</v>
      </c>
      <c r="Q1215" s="95" t="s">
        <v>46</v>
      </c>
      <c r="R1215" s="7" t="s">
        <v>45</v>
      </c>
    </row>
    <row r="1216" spans="1:18" ht="15.75" thickBot="1" x14ac:dyDescent="0.3">
      <c r="B1216" s="2" t="s">
        <v>30</v>
      </c>
      <c r="C1216" s="7">
        <v>1120335551</v>
      </c>
      <c r="D1216" s="80">
        <v>1</v>
      </c>
      <c r="E1216" s="95" t="s">
        <v>429</v>
      </c>
      <c r="F1216" s="43">
        <v>0.12</v>
      </c>
      <c r="G1216" s="95" t="s">
        <v>115</v>
      </c>
      <c r="H1216" s="10">
        <v>240</v>
      </c>
      <c r="I1216" s="10">
        <f t="shared" si="28"/>
        <v>0</v>
      </c>
      <c r="J1216" s="10">
        <f t="shared" si="29"/>
        <v>240</v>
      </c>
      <c r="K1216" s="81">
        <f t="shared" si="30"/>
        <v>0.27772999999999998</v>
      </c>
      <c r="L1216" s="53">
        <v>0</v>
      </c>
      <c r="M1216" s="53">
        <f>+J1216*K1216</f>
        <v>66.655199999999994</v>
      </c>
      <c r="N1216" s="53">
        <f>+(J1216-M1216)*F1216</f>
        <v>20.801376000000001</v>
      </c>
      <c r="O1216" s="53">
        <f>+J1216-M1216</f>
        <v>173.34480000000002</v>
      </c>
      <c r="P1216" s="35" t="s">
        <v>275</v>
      </c>
      <c r="Q1216" s="95" t="s">
        <v>274</v>
      </c>
      <c r="R1216" s="7" t="s">
        <v>25</v>
      </c>
    </row>
    <row r="1217" spans="1:18" ht="15.75" thickBot="1" x14ac:dyDescent="0.3">
      <c r="B1217" s="2" t="s">
        <v>31</v>
      </c>
      <c r="C1217" s="14">
        <v>43511</v>
      </c>
      <c r="D1217" s="16" t="s">
        <v>34</v>
      </c>
      <c r="E1217" s="40">
        <f>+SUM(I1210:I1213)</f>
        <v>1675.0631999999998</v>
      </c>
    </row>
    <row r="1218" spans="1:18" ht="15.75" thickBot="1" x14ac:dyDescent="0.3">
      <c r="B1218" s="2" t="s">
        <v>32</v>
      </c>
      <c r="C1218" s="15" t="s">
        <v>33</v>
      </c>
      <c r="D1218" s="16" t="s">
        <v>36</v>
      </c>
      <c r="E1218" s="17">
        <f>+SUM(J1210:J1215)</f>
        <v>757.44550000000004</v>
      </c>
      <c r="I1218" s="138" t="s">
        <v>322</v>
      </c>
      <c r="J1218" s="138"/>
      <c r="K1218" s="139">
        <v>0.27772999999999998</v>
      </c>
    </row>
    <row r="1219" spans="1:18" ht="15.75" thickBot="1" x14ac:dyDescent="0.3">
      <c r="B1219" s="2" t="s">
        <v>35</v>
      </c>
      <c r="C1219" s="15" t="s">
        <v>33</v>
      </c>
      <c r="D1219" s="16" t="s">
        <v>39</v>
      </c>
      <c r="E1219" s="17">
        <f>SUM(M1210:M1215)</f>
        <v>1174.8075927769999</v>
      </c>
      <c r="I1219" s="138"/>
      <c r="J1219" s="138"/>
      <c r="K1219" s="139"/>
    </row>
    <row r="1220" spans="1:18" ht="15.75" thickBot="1" x14ac:dyDescent="0.3">
      <c r="B1220" s="2" t="s">
        <v>37</v>
      </c>
      <c r="C1220" s="15" t="s">
        <v>271</v>
      </c>
      <c r="D1220" s="16" t="s">
        <v>14</v>
      </c>
      <c r="E1220" s="17">
        <f>SUM(N1210:N1215)</f>
        <v>65.649619354199999</v>
      </c>
    </row>
    <row r="1221" spans="1:18" ht="15.75" thickBot="1" x14ac:dyDescent="0.3">
      <c r="B1221" s="18"/>
      <c r="C1221" s="18"/>
      <c r="D1221" s="16" t="s">
        <v>15</v>
      </c>
      <c r="E1221" s="17">
        <f>SUM(O1210:O1215)</f>
        <v>3120.8769265772003</v>
      </c>
    </row>
    <row r="1223" spans="1:18" x14ac:dyDescent="0.25">
      <c r="B1223" s="114" t="s">
        <v>457</v>
      </c>
      <c r="C1223" s="114"/>
      <c r="D1223" s="114"/>
      <c r="E1223" s="114"/>
      <c r="F1223" s="114"/>
      <c r="G1223" s="114"/>
      <c r="H1223" s="114"/>
      <c r="I1223" s="114"/>
      <c r="J1223" s="114"/>
      <c r="K1223" s="114"/>
      <c r="L1223" s="114"/>
      <c r="M1223" s="114"/>
      <c r="N1223" s="114"/>
      <c r="O1223" s="114"/>
    </row>
    <row r="1224" spans="1:18" x14ac:dyDescent="0.25">
      <c r="B1224" s="2" t="s">
        <v>86</v>
      </c>
      <c r="C1224" s="21" t="s">
        <v>87</v>
      </c>
    </row>
    <row r="1225" spans="1:18" x14ac:dyDescent="0.25">
      <c r="B1225" s="2" t="s">
        <v>59</v>
      </c>
      <c r="C1225" s="21" t="s">
        <v>90</v>
      </c>
    </row>
    <row r="1226" spans="1:18" x14ac:dyDescent="0.25">
      <c r="B1226" s="2" t="s">
        <v>60</v>
      </c>
      <c r="C1226" s="21" t="s">
        <v>91</v>
      </c>
      <c r="E1226" s="31" t="s">
        <v>279</v>
      </c>
    </row>
    <row r="1227" spans="1:18" x14ac:dyDescent="0.25">
      <c r="B1227" s="2" t="s">
        <v>61</v>
      </c>
      <c r="C1227" s="27">
        <f>+E1221</f>
        <v>3120.8769265772003</v>
      </c>
    </row>
    <row r="1230" spans="1:18" ht="26.25" x14ac:dyDescent="0.4">
      <c r="A1230" s="88" t="s">
        <v>311</v>
      </c>
      <c r="B1230" s="34" t="s">
        <v>140</v>
      </c>
      <c r="C1230" s="93" t="s">
        <v>454</v>
      </c>
      <c r="D1230" s="137" t="s">
        <v>323</v>
      </c>
      <c r="E1230" s="137"/>
      <c r="F1230" s="137"/>
    </row>
    <row r="1231" spans="1:18" x14ac:dyDescent="0.25">
      <c r="B1231" s="112" t="s">
        <v>398</v>
      </c>
      <c r="C1231" s="113"/>
      <c r="D1231" s="113"/>
      <c r="E1231" s="113"/>
      <c r="F1231" s="113"/>
      <c r="G1231" s="113"/>
      <c r="H1231" s="113"/>
      <c r="I1231" s="113"/>
      <c r="J1231" s="113"/>
      <c r="K1231" s="113"/>
      <c r="L1231" s="113"/>
      <c r="M1231" s="113"/>
      <c r="N1231" s="113"/>
      <c r="O1231" s="113"/>
      <c r="P1231" s="113"/>
      <c r="Q1231" s="113"/>
      <c r="R1231" s="113"/>
    </row>
    <row r="1232" spans="1:18" x14ac:dyDescent="0.25">
      <c r="B1232" s="2" t="s">
        <v>6</v>
      </c>
      <c r="C1232" s="3" t="s">
        <v>67</v>
      </c>
      <c r="D1232" s="100" t="s">
        <v>8</v>
      </c>
      <c r="E1232" s="5" t="s">
        <v>9</v>
      </c>
      <c r="F1232" s="5" t="s">
        <v>14</v>
      </c>
      <c r="G1232" s="5" t="s">
        <v>10</v>
      </c>
      <c r="H1232" s="5" t="s">
        <v>11</v>
      </c>
      <c r="I1232" s="5" t="s">
        <v>148</v>
      </c>
      <c r="J1232" s="5" t="s">
        <v>149</v>
      </c>
      <c r="K1232" s="5" t="s">
        <v>12</v>
      </c>
      <c r="L1232" s="5" t="s">
        <v>13</v>
      </c>
      <c r="M1232" s="5" t="s">
        <v>40</v>
      </c>
      <c r="N1232" s="5" t="s">
        <v>14</v>
      </c>
      <c r="O1232" s="5" t="s">
        <v>15</v>
      </c>
      <c r="P1232" s="5" t="s">
        <v>16</v>
      </c>
      <c r="Q1232" s="5" t="s">
        <v>17</v>
      </c>
      <c r="R1232" s="5" t="s">
        <v>18</v>
      </c>
    </row>
    <row r="1233" spans="2:18" x14ac:dyDescent="0.25">
      <c r="B1233" s="2" t="s">
        <v>19</v>
      </c>
      <c r="C1233" s="15" t="s">
        <v>68</v>
      </c>
      <c r="D1233" s="95">
        <v>400</v>
      </c>
      <c r="E1233" s="95" t="s">
        <v>446</v>
      </c>
      <c r="F1233" s="43">
        <v>0.12</v>
      </c>
      <c r="G1233" s="7" t="s">
        <v>79</v>
      </c>
      <c r="H1233" s="51">
        <v>0.14000000000000001</v>
      </c>
      <c r="I1233" s="51">
        <f>+IF(F1233=0%,D1233*H1233,0)</f>
        <v>0</v>
      </c>
      <c r="J1233" s="51">
        <f>+IF(F1233=12%,D1233*H1233,0)</f>
        <v>56.000000000000007</v>
      </c>
      <c r="K1233" s="85">
        <f>+L1233*100/J1233</f>
        <v>13.895459640035337</v>
      </c>
      <c r="L1233" s="86">
        <f>$L$1241/($E$1240+$E$1241)*J1233</f>
        <v>7.7814573984197901</v>
      </c>
      <c r="M1233" s="53">
        <f>+L1233</f>
        <v>7.7814573984197901</v>
      </c>
      <c r="N1233" s="53">
        <f t="shared" ref="N1233:N1239" si="31">+(J1233-M1233)*F1233</f>
        <v>5.7862251121896255</v>
      </c>
      <c r="O1233" s="53">
        <f>+J1233-M1233+N1233</f>
        <v>54.004767713769844</v>
      </c>
      <c r="P1233" s="7" t="s">
        <v>301</v>
      </c>
      <c r="Q1233" s="95" t="s">
        <v>81</v>
      </c>
      <c r="R1233" s="7" t="s">
        <v>25</v>
      </c>
    </row>
    <row r="1234" spans="2:18" x14ac:dyDescent="0.25">
      <c r="B1234" s="2" t="s">
        <v>21</v>
      </c>
      <c r="C1234" s="15" t="s">
        <v>22</v>
      </c>
      <c r="D1234" s="95">
        <v>28</v>
      </c>
      <c r="E1234" s="95" t="s">
        <v>447</v>
      </c>
      <c r="F1234" s="43">
        <v>0.12</v>
      </c>
      <c r="G1234" s="7" t="s">
        <v>82</v>
      </c>
      <c r="H1234" s="51">
        <v>4.59</v>
      </c>
      <c r="I1234" s="51">
        <f t="shared" ref="I1234:I1239" si="32">+IF(F1234=0%,D1234*H1234,0)</f>
        <v>0</v>
      </c>
      <c r="J1234" s="51">
        <f t="shared" ref="J1234:J1239" si="33">+IF(F1234=12%,D1234*H1234,0)</f>
        <v>128.51999999999998</v>
      </c>
      <c r="K1234" s="85">
        <f>+L1234*100/J1234</f>
        <v>13.895459640035337</v>
      </c>
      <c r="L1234" s="86">
        <f t="shared" ref="L1234:L1239" si="34">$L$1241/($E$1240+$E$1241)*J1234</f>
        <v>17.858444729373414</v>
      </c>
      <c r="M1234" s="53">
        <f t="shared" ref="M1234:M1239" si="35">+L1234</f>
        <v>17.858444729373414</v>
      </c>
      <c r="N1234" s="53">
        <f t="shared" si="31"/>
        <v>13.279386632475187</v>
      </c>
      <c r="O1234" s="53">
        <f>+J1234-M1234+N1234</f>
        <v>123.94094190310176</v>
      </c>
      <c r="P1234" s="7" t="s">
        <v>301</v>
      </c>
      <c r="Q1234" s="95" t="s">
        <v>81</v>
      </c>
      <c r="R1234" s="7" t="s">
        <v>25</v>
      </c>
    </row>
    <row r="1235" spans="2:18" ht="30" x14ac:dyDescent="0.25">
      <c r="B1235" s="2" t="s">
        <v>23</v>
      </c>
      <c r="C1235" s="30" t="s">
        <v>70</v>
      </c>
      <c r="D1235" s="95">
        <v>24</v>
      </c>
      <c r="E1235" s="95" t="s">
        <v>448</v>
      </c>
      <c r="F1235" s="43">
        <v>0.12</v>
      </c>
      <c r="G1235" s="7" t="s">
        <v>83</v>
      </c>
      <c r="H1235" s="51">
        <v>2.15</v>
      </c>
      <c r="I1235" s="51">
        <f t="shared" si="32"/>
        <v>0</v>
      </c>
      <c r="J1235" s="51">
        <f t="shared" si="33"/>
        <v>51.599999999999994</v>
      </c>
      <c r="K1235" s="85">
        <f>+L1235*100/J1235</f>
        <v>13.895459640035339</v>
      </c>
      <c r="L1235" s="86">
        <f t="shared" si="34"/>
        <v>7.1700571742582335</v>
      </c>
      <c r="M1235" s="53">
        <f t="shared" si="35"/>
        <v>7.1700571742582335</v>
      </c>
      <c r="N1235" s="53">
        <f t="shared" si="31"/>
        <v>5.3315931390890112</v>
      </c>
      <c r="O1235" s="53">
        <f>+J1235-M1235+N1235</f>
        <v>49.76153596483077</v>
      </c>
      <c r="P1235" s="7" t="s">
        <v>301</v>
      </c>
      <c r="Q1235" s="95" t="s">
        <v>81</v>
      </c>
      <c r="R1235" s="7" t="s">
        <v>25</v>
      </c>
    </row>
    <row r="1236" spans="2:18" x14ac:dyDescent="0.25">
      <c r="B1236" s="2" t="s">
        <v>26</v>
      </c>
      <c r="C1236" s="12" t="s">
        <v>71</v>
      </c>
      <c r="D1236" s="95">
        <v>125</v>
      </c>
      <c r="E1236" s="95"/>
      <c r="F1236" s="43">
        <v>0</v>
      </c>
      <c r="G1236" s="7" t="s">
        <v>298</v>
      </c>
      <c r="H1236" s="51">
        <v>0.38</v>
      </c>
      <c r="I1236" s="51">
        <f t="shared" si="32"/>
        <v>47.5</v>
      </c>
      <c r="J1236" s="51">
        <f t="shared" si="33"/>
        <v>0</v>
      </c>
      <c r="K1236" s="85">
        <f>+L1236*100/I1236</f>
        <v>13.895459640035336</v>
      </c>
      <c r="L1236" s="86">
        <f>$L$1241/($E$1240+$E$1241)*I1236</f>
        <v>6.600343329016785</v>
      </c>
      <c r="M1236" s="53">
        <f t="shared" si="35"/>
        <v>6.600343329016785</v>
      </c>
      <c r="N1236" s="53">
        <f t="shared" si="31"/>
        <v>0</v>
      </c>
      <c r="O1236" s="53">
        <f>+I1236-M1236+N1236</f>
        <v>40.899656670983212</v>
      </c>
      <c r="P1236" s="7" t="s">
        <v>301</v>
      </c>
      <c r="Q1236" s="95" t="s">
        <v>81</v>
      </c>
      <c r="R1236" s="7" t="s">
        <v>25</v>
      </c>
    </row>
    <row r="1237" spans="2:18" x14ac:dyDescent="0.25">
      <c r="B1237" s="2" t="s">
        <v>27</v>
      </c>
      <c r="C1237" s="3" t="s">
        <v>28</v>
      </c>
      <c r="D1237" s="95">
        <v>750</v>
      </c>
      <c r="E1237" s="95"/>
      <c r="F1237" s="43">
        <v>0</v>
      </c>
      <c r="G1237" s="7" t="s">
        <v>299</v>
      </c>
      <c r="H1237" s="51">
        <v>0.08</v>
      </c>
      <c r="I1237" s="51">
        <f t="shared" si="32"/>
        <v>60</v>
      </c>
      <c r="J1237" s="51">
        <f t="shared" si="33"/>
        <v>0</v>
      </c>
      <c r="K1237" s="85">
        <f>+L1237*100/I1237</f>
        <v>13.895459640035336</v>
      </c>
      <c r="L1237" s="86">
        <f>$L$1241/($E$1240+$E$1241)*I1237</f>
        <v>8.3372757840212017</v>
      </c>
      <c r="M1237" s="53">
        <f t="shared" si="35"/>
        <v>8.3372757840212017</v>
      </c>
      <c r="N1237" s="53">
        <f t="shared" si="31"/>
        <v>0</v>
      </c>
      <c r="O1237" s="53">
        <f>+I1237-M1237+N1237</f>
        <v>51.662724215978798</v>
      </c>
      <c r="P1237" s="7" t="s">
        <v>301</v>
      </c>
      <c r="Q1237" s="95" t="s">
        <v>81</v>
      </c>
      <c r="R1237" s="7" t="s">
        <v>25</v>
      </c>
    </row>
    <row r="1238" spans="2:18" x14ac:dyDescent="0.25">
      <c r="B1238" s="2" t="s">
        <v>29</v>
      </c>
      <c r="C1238" s="3">
        <v>1</v>
      </c>
      <c r="D1238" s="95">
        <v>1200</v>
      </c>
      <c r="E1238" s="95"/>
      <c r="F1238" s="43">
        <v>0</v>
      </c>
      <c r="G1238" s="7" t="s">
        <v>300</v>
      </c>
      <c r="H1238" s="83">
        <v>0.03</v>
      </c>
      <c r="I1238" s="83">
        <f t="shared" si="32"/>
        <v>36</v>
      </c>
      <c r="J1238" s="83">
        <f t="shared" si="33"/>
        <v>0</v>
      </c>
      <c r="K1238" s="85">
        <f>+L1238*100/I1238</f>
        <v>13.895459640035337</v>
      </c>
      <c r="L1238" s="86">
        <f>$L$1241/($E$1240+$E$1241)*I1238</f>
        <v>5.0023654704127214</v>
      </c>
      <c r="M1238" s="53">
        <f t="shared" si="35"/>
        <v>5.0023654704127214</v>
      </c>
      <c r="N1238" s="84">
        <f t="shared" si="31"/>
        <v>0</v>
      </c>
      <c r="O1238" s="53">
        <f>+I1238-M1238+N1238</f>
        <v>30.99763452958728</v>
      </c>
      <c r="P1238" s="7" t="s">
        <v>301</v>
      </c>
      <c r="Q1238" s="95" t="s">
        <v>81</v>
      </c>
      <c r="R1238" s="7" t="s">
        <v>25</v>
      </c>
    </row>
    <row r="1239" spans="2:18" x14ac:dyDescent="0.25">
      <c r="B1239" s="2" t="s">
        <v>30</v>
      </c>
      <c r="C1239" s="7">
        <v>1122728319</v>
      </c>
      <c r="D1239" s="95">
        <v>786.37</v>
      </c>
      <c r="E1239" s="95" t="s">
        <v>111</v>
      </c>
      <c r="F1239" s="43">
        <v>0.12</v>
      </c>
      <c r="G1239" s="7" t="s">
        <v>112</v>
      </c>
      <c r="H1239" s="84">
        <v>0.89</v>
      </c>
      <c r="I1239" s="84">
        <f t="shared" si="32"/>
        <v>0</v>
      </c>
      <c r="J1239" s="53">
        <f t="shared" si="33"/>
        <v>699.86930000000007</v>
      </c>
      <c r="K1239" s="85">
        <f>+L1239*100/J1239</f>
        <v>13.895459640035339</v>
      </c>
      <c r="L1239" s="86">
        <f t="shared" si="34"/>
        <v>97.250056114497852</v>
      </c>
      <c r="M1239" s="53">
        <f t="shared" si="35"/>
        <v>97.250056114497852</v>
      </c>
      <c r="N1239" s="53">
        <f t="shared" si="31"/>
        <v>72.314309266260267</v>
      </c>
      <c r="O1239" s="53">
        <f>+J1239-M1239+N1239</f>
        <v>674.93355315176245</v>
      </c>
      <c r="P1239" s="7" t="s">
        <v>45</v>
      </c>
      <c r="Q1239" s="95" t="s">
        <v>46</v>
      </c>
      <c r="R1239" s="7" t="s">
        <v>45</v>
      </c>
    </row>
    <row r="1240" spans="2:18" ht="15.75" thickBot="1" x14ac:dyDescent="0.3">
      <c r="B1240" s="2" t="s">
        <v>31</v>
      </c>
      <c r="C1240" s="14">
        <v>43511</v>
      </c>
      <c r="D1240" s="39" t="s">
        <v>34</v>
      </c>
      <c r="E1240" s="40">
        <f>+SUM(I1233:I1239)</f>
        <v>143.5</v>
      </c>
      <c r="L1240" s="92"/>
    </row>
    <row r="1241" spans="2:18" ht="15.75" thickBot="1" x14ac:dyDescent="0.3">
      <c r="B1241" s="2" t="s">
        <v>32</v>
      </c>
      <c r="C1241" s="15" t="s">
        <v>33</v>
      </c>
      <c r="D1241" s="16" t="s">
        <v>36</v>
      </c>
      <c r="E1241" s="17">
        <f>+SUM(J1233:J1239)</f>
        <v>935.98930000000007</v>
      </c>
      <c r="J1241" s="138" t="s">
        <v>324</v>
      </c>
      <c r="K1241" s="138"/>
      <c r="L1241" s="140">
        <v>150</v>
      </c>
    </row>
    <row r="1242" spans="2:18" ht="15.75" thickBot="1" x14ac:dyDescent="0.3">
      <c r="B1242" s="2" t="s">
        <v>35</v>
      </c>
      <c r="C1242" s="15" t="s">
        <v>33</v>
      </c>
      <c r="D1242" s="16" t="s">
        <v>39</v>
      </c>
      <c r="E1242" s="17">
        <f>SUM(M1233:M1239)</f>
        <v>150</v>
      </c>
      <c r="G1242" s="90"/>
      <c r="J1242" s="138"/>
      <c r="K1242" s="138"/>
      <c r="L1242" s="140"/>
    </row>
    <row r="1243" spans="2:18" ht="15.75" thickBot="1" x14ac:dyDescent="0.3">
      <c r="B1243" s="2" t="s">
        <v>37</v>
      </c>
      <c r="C1243" s="15" t="s">
        <v>377</v>
      </c>
      <c r="D1243" s="16" t="s">
        <v>14</v>
      </c>
      <c r="E1243" s="17">
        <f>SUM(N1233:N1239)</f>
        <v>96.711514150014096</v>
      </c>
      <c r="G1243" s="91"/>
    </row>
    <row r="1244" spans="2:18" ht="15.75" thickBot="1" x14ac:dyDescent="0.3">
      <c r="B1244" s="18"/>
      <c r="C1244" s="18"/>
      <c r="D1244" s="16" t="s">
        <v>15</v>
      </c>
      <c r="E1244" s="17">
        <f>SUM(O1233:O1239)</f>
        <v>1026.2008141500141</v>
      </c>
    </row>
    <row r="1245" spans="2:18" x14ac:dyDescent="0.25">
      <c r="B1245" s="18"/>
      <c r="C1245" s="18"/>
    </row>
    <row r="1246" spans="2:18" x14ac:dyDescent="0.25">
      <c r="B1246" s="18"/>
      <c r="C1246" s="18"/>
    </row>
    <row r="1247" spans="2:18" x14ac:dyDescent="0.25">
      <c r="B1247" s="114" t="s">
        <v>457</v>
      </c>
      <c r="C1247" s="114"/>
      <c r="D1247" s="114"/>
      <c r="E1247" s="114"/>
      <c r="F1247" s="114"/>
      <c r="G1247" s="114"/>
      <c r="H1247" s="114"/>
      <c r="I1247" s="114"/>
      <c r="J1247" s="114"/>
      <c r="K1247" s="114"/>
      <c r="L1247" s="114"/>
      <c r="M1247" s="114"/>
      <c r="N1247" s="114"/>
      <c r="O1247" s="114"/>
    </row>
    <row r="1248" spans="2:18" x14ac:dyDescent="0.25">
      <c r="B1248" s="2" t="s">
        <v>86</v>
      </c>
      <c r="C1248" s="21" t="s">
        <v>143</v>
      </c>
    </row>
    <row r="1249" spans="1:18" x14ac:dyDescent="0.25">
      <c r="B1249" s="2" t="s">
        <v>58</v>
      </c>
      <c r="C1249" s="21" t="s">
        <v>144</v>
      </c>
      <c r="E1249" s="31" t="s">
        <v>279</v>
      </c>
    </row>
    <row r="1250" spans="1:18" x14ac:dyDescent="0.25">
      <c r="B1250" s="2" t="s">
        <v>60</v>
      </c>
      <c r="C1250" s="21" t="s">
        <v>74</v>
      </c>
    </row>
    <row r="1251" spans="1:18" x14ac:dyDescent="0.25">
      <c r="B1251" s="2" t="s">
        <v>61</v>
      </c>
      <c r="C1251" s="89">
        <f>+E1244</f>
        <v>1026.2008141500141</v>
      </c>
    </row>
    <row r="1254" spans="1:18" ht="26.25" x14ac:dyDescent="0.4">
      <c r="A1254" s="88" t="s">
        <v>311</v>
      </c>
      <c r="B1254" s="34" t="s">
        <v>142</v>
      </c>
      <c r="C1254" s="93" t="s">
        <v>455</v>
      </c>
      <c r="D1254" s="137" t="s">
        <v>323</v>
      </c>
      <c r="E1254" s="137"/>
      <c r="F1254" s="137"/>
    </row>
    <row r="1255" spans="1:18" x14ac:dyDescent="0.25">
      <c r="B1255" s="112" t="s">
        <v>398</v>
      </c>
      <c r="C1255" s="113"/>
      <c r="D1255" s="113"/>
      <c r="E1255" s="113"/>
      <c r="F1255" s="113"/>
      <c r="G1255" s="113"/>
      <c r="H1255" s="113"/>
      <c r="I1255" s="113"/>
      <c r="J1255" s="113"/>
      <c r="K1255" s="113"/>
      <c r="L1255" s="113"/>
      <c r="M1255" s="113"/>
      <c r="N1255" s="113"/>
      <c r="O1255" s="113"/>
      <c r="P1255" s="113"/>
      <c r="Q1255" s="113"/>
      <c r="R1255" s="113"/>
    </row>
    <row r="1256" spans="1:18" x14ac:dyDescent="0.25">
      <c r="B1256" s="2" t="s">
        <v>6</v>
      </c>
      <c r="C1256" s="3" t="s">
        <v>67</v>
      </c>
      <c r="D1256" s="100" t="s">
        <v>8</v>
      </c>
      <c r="E1256" s="5" t="s">
        <v>9</v>
      </c>
      <c r="F1256" s="5" t="s">
        <v>14</v>
      </c>
      <c r="G1256" s="5" t="s">
        <v>10</v>
      </c>
      <c r="H1256" s="5" t="s">
        <v>11</v>
      </c>
      <c r="I1256" s="5" t="s">
        <v>148</v>
      </c>
      <c r="J1256" s="5" t="s">
        <v>149</v>
      </c>
      <c r="K1256" s="5" t="s">
        <v>12</v>
      </c>
      <c r="L1256" s="5" t="s">
        <v>13</v>
      </c>
      <c r="M1256" s="5" t="s">
        <v>40</v>
      </c>
      <c r="N1256" s="5" t="s">
        <v>14</v>
      </c>
      <c r="O1256" s="5" t="s">
        <v>15</v>
      </c>
      <c r="P1256" s="5" t="s">
        <v>16</v>
      </c>
      <c r="Q1256" s="5" t="s">
        <v>17</v>
      </c>
      <c r="R1256" s="5" t="s">
        <v>18</v>
      </c>
    </row>
    <row r="1257" spans="1:18" x14ac:dyDescent="0.25">
      <c r="B1257" s="2" t="s">
        <v>19</v>
      </c>
      <c r="C1257" s="15" t="s">
        <v>68</v>
      </c>
      <c r="D1257" s="95">
        <v>400</v>
      </c>
      <c r="E1257" s="95" t="s">
        <v>446</v>
      </c>
      <c r="F1257" s="43">
        <v>0.12</v>
      </c>
      <c r="G1257" s="7" t="s">
        <v>79</v>
      </c>
      <c r="H1257" s="51">
        <v>0.14000000000000001</v>
      </c>
      <c r="I1257" s="51">
        <f>+IF(F1257=0%,D1257*H1257,0)</f>
        <v>0</v>
      </c>
      <c r="J1257" s="51">
        <f>+IF(F1257=12%,D1257*H1257,0)</f>
        <v>56.000000000000007</v>
      </c>
      <c r="K1257" s="85">
        <f>+L1257*100/J1257</f>
        <v>6.4808423761124816</v>
      </c>
      <c r="L1257" s="86">
        <f>$L$1265/($E$1264+$E$1265)*J1257</f>
        <v>3.6292717306229898</v>
      </c>
      <c r="M1257" s="53">
        <f>+L1257</f>
        <v>3.6292717306229898</v>
      </c>
      <c r="N1257" s="53">
        <f t="shared" ref="N1257:N1263" si="36">+(J1257-M1257)*F1257</f>
        <v>6.284487392325242</v>
      </c>
      <c r="O1257" s="53">
        <f>+J1257-M1257+N1257</f>
        <v>58.655215661702258</v>
      </c>
      <c r="P1257" s="7" t="s">
        <v>301</v>
      </c>
      <c r="Q1257" s="95" t="s">
        <v>81</v>
      </c>
      <c r="R1257" s="7" t="s">
        <v>25</v>
      </c>
    </row>
    <row r="1258" spans="1:18" x14ac:dyDescent="0.25">
      <c r="B1258" s="2" t="s">
        <v>21</v>
      </c>
      <c r="C1258" s="15" t="s">
        <v>22</v>
      </c>
      <c r="D1258" s="95">
        <v>28</v>
      </c>
      <c r="E1258" s="95" t="s">
        <v>447</v>
      </c>
      <c r="F1258" s="43">
        <v>0.12</v>
      </c>
      <c r="G1258" s="7" t="s">
        <v>82</v>
      </c>
      <c r="H1258" s="51">
        <v>4.59</v>
      </c>
      <c r="I1258" s="51">
        <f t="shared" ref="I1258:I1263" si="37">+IF(F1258=0%,D1258*H1258,0)</f>
        <v>0</v>
      </c>
      <c r="J1258" s="51">
        <f t="shared" ref="J1258:J1263" si="38">+IF(F1258=12%,D1258*H1258,0)</f>
        <v>128.51999999999998</v>
      </c>
      <c r="K1258" s="85">
        <f t="shared" ref="K1258:K1263" si="39">+L1258*100/J1258</f>
        <v>6.4808423761124807</v>
      </c>
      <c r="L1258" s="86">
        <f>$L$1265/($E$1264+$E$1265)*J1258</f>
        <v>8.329178621779759</v>
      </c>
      <c r="M1258" s="53">
        <f t="shared" ref="M1258:M1263" si="40">+L1258</f>
        <v>8.329178621779759</v>
      </c>
      <c r="N1258" s="53">
        <f t="shared" si="36"/>
        <v>14.422898565386426</v>
      </c>
      <c r="O1258" s="53">
        <f>+J1258-M1258+N1258</f>
        <v>134.61371994360664</v>
      </c>
      <c r="P1258" s="7" t="s">
        <v>301</v>
      </c>
      <c r="Q1258" s="95" t="s">
        <v>81</v>
      </c>
      <c r="R1258" s="7" t="s">
        <v>25</v>
      </c>
    </row>
    <row r="1259" spans="1:18" ht="30" x14ac:dyDescent="0.25">
      <c r="B1259" s="2" t="s">
        <v>23</v>
      </c>
      <c r="C1259" s="30" t="s">
        <v>70</v>
      </c>
      <c r="D1259" s="95">
        <v>24</v>
      </c>
      <c r="E1259" s="95" t="s">
        <v>448</v>
      </c>
      <c r="F1259" s="43">
        <v>0.12</v>
      </c>
      <c r="G1259" s="7" t="s">
        <v>83</v>
      </c>
      <c r="H1259" s="51">
        <v>2.15</v>
      </c>
      <c r="I1259" s="51">
        <f t="shared" si="37"/>
        <v>0</v>
      </c>
      <c r="J1259" s="51">
        <f t="shared" si="38"/>
        <v>51.599999999999994</v>
      </c>
      <c r="K1259" s="85">
        <f t="shared" si="39"/>
        <v>6.4808423761124807</v>
      </c>
      <c r="L1259" s="86">
        <f>$L$1265/($E$1264+$E$1265)*J1259</f>
        <v>3.3441146660740397</v>
      </c>
      <c r="M1259" s="53">
        <f t="shared" si="40"/>
        <v>3.3441146660740397</v>
      </c>
      <c r="N1259" s="53">
        <f t="shared" si="36"/>
        <v>5.7907062400711142</v>
      </c>
      <c r="O1259" s="53">
        <f>+J1259-M1259+N1259</f>
        <v>54.04659157399707</v>
      </c>
      <c r="P1259" s="7" t="s">
        <v>301</v>
      </c>
      <c r="Q1259" s="95" t="s">
        <v>81</v>
      </c>
      <c r="R1259" s="7" t="s">
        <v>25</v>
      </c>
    </row>
    <row r="1260" spans="1:18" x14ac:dyDescent="0.25">
      <c r="B1260" s="2" t="s">
        <v>26</v>
      </c>
      <c r="C1260" s="12" t="s">
        <v>71</v>
      </c>
      <c r="D1260" s="95">
        <v>125</v>
      </c>
      <c r="E1260" s="95"/>
      <c r="F1260" s="43">
        <v>0</v>
      </c>
      <c r="G1260" s="7" t="s">
        <v>298</v>
      </c>
      <c r="H1260" s="51">
        <v>0.38</v>
      </c>
      <c r="I1260" s="51">
        <f t="shared" si="37"/>
        <v>47.5</v>
      </c>
      <c r="J1260" s="51">
        <f t="shared" si="38"/>
        <v>0</v>
      </c>
      <c r="K1260" s="85">
        <f>+L1260*100/I1260</f>
        <v>6.4808423761124807</v>
      </c>
      <c r="L1260" s="86">
        <f>$L$1265/($E$1264+$E$1265)*I1260</f>
        <v>3.0784001286534282</v>
      </c>
      <c r="M1260" s="53">
        <f t="shared" si="40"/>
        <v>3.0784001286534282</v>
      </c>
      <c r="N1260" s="53">
        <f t="shared" si="36"/>
        <v>0</v>
      </c>
      <c r="O1260" s="53">
        <f>+I1260-M1260+N1260</f>
        <v>44.421599871346572</v>
      </c>
      <c r="P1260" s="7" t="s">
        <v>301</v>
      </c>
      <c r="Q1260" s="95" t="s">
        <v>81</v>
      </c>
      <c r="R1260" s="7" t="s">
        <v>25</v>
      </c>
    </row>
    <row r="1261" spans="1:18" x14ac:dyDescent="0.25">
      <c r="B1261" s="2" t="s">
        <v>27</v>
      </c>
      <c r="C1261" s="3" t="s">
        <v>28</v>
      </c>
      <c r="D1261" s="95">
        <v>750</v>
      </c>
      <c r="E1261" s="95"/>
      <c r="F1261" s="43">
        <v>0</v>
      </c>
      <c r="G1261" s="7" t="s">
        <v>299</v>
      </c>
      <c r="H1261" s="51">
        <v>0.08</v>
      </c>
      <c r="I1261" s="51">
        <f t="shared" si="37"/>
        <v>60</v>
      </c>
      <c r="J1261" s="51">
        <f t="shared" si="38"/>
        <v>0</v>
      </c>
      <c r="K1261" s="85">
        <f>+L1261*100/I1261</f>
        <v>6.4808423761124798</v>
      </c>
      <c r="L1261" s="86">
        <f>$L$1265/($E$1264+$E$1265)*I1261</f>
        <v>3.8885054256674882</v>
      </c>
      <c r="M1261" s="53">
        <f t="shared" si="40"/>
        <v>3.8885054256674882</v>
      </c>
      <c r="N1261" s="53">
        <f t="shared" si="36"/>
        <v>0</v>
      </c>
      <c r="O1261" s="53">
        <f>+I1261-M1261+N1261</f>
        <v>56.111494574332511</v>
      </c>
      <c r="P1261" s="7" t="s">
        <v>301</v>
      </c>
      <c r="Q1261" s="95" t="s">
        <v>81</v>
      </c>
      <c r="R1261" s="7" t="s">
        <v>25</v>
      </c>
    </row>
    <row r="1262" spans="1:18" x14ac:dyDescent="0.25">
      <c r="B1262" s="2" t="s">
        <v>29</v>
      </c>
      <c r="C1262" s="3">
        <v>1</v>
      </c>
      <c r="D1262" s="95">
        <v>1200</v>
      </c>
      <c r="E1262" s="95"/>
      <c r="F1262" s="43">
        <v>0</v>
      </c>
      <c r="G1262" s="7" t="s">
        <v>300</v>
      </c>
      <c r="H1262" s="83">
        <v>0.03</v>
      </c>
      <c r="I1262" s="83">
        <f t="shared" si="37"/>
        <v>36</v>
      </c>
      <c r="J1262" s="83">
        <f t="shared" si="38"/>
        <v>0</v>
      </c>
      <c r="K1262" s="85">
        <f>+L1262*100/I1262</f>
        <v>6.4808423761124807</v>
      </c>
      <c r="L1262" s="86">
        <f>$L$1265/($E$1264+$E$1265)*I1262</f>
        <v>2.3331032554004931</v>
      </c>
      <c r="M1262" s="53">
        <f t="shared" si="40"/>
        <v>2.3331032554004931</v>
      </c>
      <c r="N1262" s="84">
        <f t="shared" si="36"/>
        <v>0</v>
      </c>
      <c r="O1262" s="53">
        <f>+I1262-M1262+N1262</f>
        <v>33.666896744599505</v>
      </c>
      <c r="P1262" s="7" t="s">
        <v>301</v>
      </c>
      <c r="Q1262" s="95" t="s">
        <v>81</v>
      </c>
      <c r="R1262" s="7" t="s">
        <v>25</v>
      </c>
    </row>
    <row r="1263" spans="1:18" ht="15.75" thickBot="1" x14ac:dyDescent="0.3">
      <c r="B1263" s="2" t="s">
        <v>30</v>
      </c>
      <c r="C1263" s="7">
        <v>1122728319</v>
      </c>
      <c r="D1263" s="95">
        <v>786.37</v>
      </c>
      <c r="E1263" s="95" t="s">
        <v>111</v>
      </c>
      <c r="F1263" s="43">
        <v>0.12</v>
      </c>
      <c r="G1263" s="7" t="s">
        <v>112</v>
      </c>
      <c r="H1263" s="84">
        <v>0.89</v>
      </c>
      <c r="I1263" s="84">
        <f t="shared" si="37"/>
        <v>0</v>
      </c>
      <c r="J1263" s="53">
        <f t="shared" si="38"/>
        <v>699.86930000000007</v>
      </c>
      <c r="K1263" s="85">
        <f t="shared" si="39"/>
        <v>6.4808423761124807</v>
      </c>
      <c r="L1263" s="86">
        <f>$L$1265/($E$1264+$E$1265)*J1263</f>
        <v>45.357426171801791</v>
      </c>
      <c r="M1263" s="53">
        <f t="shared" si="40"/>
        <v>45.357426171801791</v>
      </c>
      <c r="N1263" s="53">
        <f t="shared" si="36"/>
        <v>78.541424859383795</v>
      </c>
      <c r="O1263" s="53">
        <f>+J1263-M1263+N1263</f>
        <v>733.05329868758213</v>
      </c>
      <c r="P1263" s="7" t="s">
        <v>45</v>
      </c>
      <c r="Q1263" s="95" t="s">
        <v>46</v>
      </c>
      <c r="R1263" s="7" t="s">
        <v>45</v>
      </c>
    </row>
    <row r="1264" spans="1:18" ht="15.75" thickBot="1" x14ac:dyDescent="0.3">
      <c r="B1264" s="2" t="s">
        <v>31</v>
      </c>
      <c r="C1264" s="14">
        <v>43511</v>
      </c>
      <c r="D1264" s="16" t="s">
        <v>34</v>
      </c>
      <c r="E1264" s="40">
        <f>+SUM(I1257:I1263)</f>
        <v>143.5</v>
      </c>
    </row>
    <row r="1265" spans="2:15" ht="15.75" thickBot="1" x14ac:dyDescent="0.3">
      <c r="B1265" s="2" t="s">
        <v>32</v>
      </c>
      <c r="C1265" s="15" t="s">
        <v>33</v>
      </c>
      <c r="D1265" s="16" t="s">
        <v>36</v>
      </c>
      <c r="E1265" s="17">
        <f>+SUM(J1257:J1263)</f>
        <v>935.98930000000007</v>
      </c>
      <c r="J1265" s="138" t="s">
        <v>324</v>
      </c>
      <c r="K1265" s="138"/>
      <c r="L1265" s="140">
        <v>69.959999999999994</v>
      </c>
    </row>
    <row r="1266" spans="2:15" ht="15.75" thickBot="1" x14ac:dyDescent="0.3">
      <c r="B1266" s="2" t="s">
        <v>35</v>
      </c>
      <c r="C1266" s="15" t="s">
        <v>33</v>
      </c>
      <c r="D1266" s="16" t="s">
        <v>39</v>
      </c>
      <c r="E1266" s="17">
        <f>SUM(M1257:M1263)</f>
        <v>69.959999999999994</v>
      </c>
      <c r="J1266" s="138"/>
      <c r="K1266" s="138"/>
      <c r="L1266" s="140"/>
    </row>
    <row r="1267" spans="2:15" ht="15.75" thickBot="1" x14ac:dyDescent="0.3">
      <c r="B1267" s="2" t="s">
        <v>37</v>
      </c>
      <c r="C1267" s="15" t="s">
        <v>378</v>
      </c>
      <c r="D1267" s="16" t="s">
        <v>14</v>
      </c>
      <c r="E1267" s="17">
        <f>SUM(N1257:N1263)</f>
        <v>105.03951705716658</v>
      </c>
    </row>
    <row r="1268" spans="2:15" ht="15.75" thickBot="1" x14ac:dyDescent="0.3">
      <c r="B1268" s="18"/>
      <c r="C1268" s="18"/>
      <c r="D1268" s="16" t="s">
        <v>15</v>
      </c>
      <c r="E1268" s="17">
        <f>SUM(O1257:O1263)</f>
        <v>1114.5688170571666</v>
      </c>
    </row>
    <row r="1269" spans="2:15" x14ac:dyDescent="0.25">
      <c r="B1269" s="18"/>
      <c r="C1269" s="18"/>
    </row>
    <row r="1271" spans="2:15" x14ac:dyDescent="0.25">
      <c r="B1271" s="114" t="s">
        <v>457</v>
      </c>
      <c r="C1271" s="114"/>
      <c r="D1271" s="114"/>
      <c r="E1271" s="114"/>
      <c r="F1271" s="114"/>
      <c r="G1271" s="114"/>
      <c r="H1271" s="114"/>
      <c r="I1271" s="114"/>
      <c r="J1271" s="114"/>
      <c r="K1271" s="114"/>
      <c r="L1271" s="114"/>
      <c r="M1271" s="114"/>
      <c r="N1271" s="114"/>
      <c r="O1271" s="114"/>
    </row>
    <row r="1272" spans="2:15" x14ac:dyDescent="0.25">
      <c r="B1272" s="2" t="s">
        <v>86</v>
      </c>
      <c r="C1272" s="21" t="s">
        <v>143</v>
      </c>
    </row>
    <row r="1273" spans="2:15" x14ac:dyDescent="0.25">
      <c r="B1273" s="2" t="s">
        <v>58</v>
      </c>
      <c r="C1273" s="21" t="s">
        <v>73</v>
      </c>
    </row>
    <row r="1274" spans="2:15" x14ac:dyDescent="0.25">
      <c r="B1274" s="2" t="s">
        <v>60</v>
      </c>
      <c r="C1274" s="21" t="s">
        <v>74</v>
      </c>
      <c r="D1274" s="95" t="s">
        <v>154</v>
      </c>
      <c r="E1274" s="31" t="s">
        <v>279</v>
      </c>
    </row>
    <row r="1275" spans="2:15" x14ac:dyDescent="0.25">
      <c r="B1275" s="2" t="s">
        <v>61</v>
      </c>
      <c r="C1275" s="27">
        <f>+(E1268)*D1275</f>
        <v>334.37064511714999</v>
      </c>
      <c r="D1275" s="43">
        <v>0.3</v>
      </c>
    </row>
    <row r="1276" spans="2:15" x14ac:dyDescent="0.25">
      <c r="B1276" s="2" t="s">
        <v>60</v>
      </c>
      <c r="C1276" s="21" t="s">
        <v>75</v>
      </c>
      <c r="D1276" s="95" t="s">
        <v>154</v>
      </c>
    </row>
    <row r="1277" spans="2:15" x14ac:dyDescent="0.25">
      <c r="B1277" s="2" t="s">
        <v>61</v>
      </c>
      <c r="C1277" s="27">
        <f>+(E1268)*D1277</f>
        <v>334.37064511714999</v>
      </c>
      <c r="D1277" s="43">
        <v>0.3</v>
      </c>
      <c r="E1277" s="28"/>
      <c r="F1277" s="28"/>
      <c r="H1277" s="23"/>
      <c r="I1277" s="23"/>
      <c r="J1277" s="24"/>
      <c r="K1277" s="24"/>
      <c r="L1277" s="25"/>
      <c r="M1277" s="26"/>
      <c r="N1277" s="22"/>
      <c r="O1277" s="22"/>
    </row>
    <row r="1278" spans="2:15" x14ac:dyDescent="0.25">
      <c r="B1278" s="2" t="s">
        <v>58</v>
      </c>
      <c r="C1278" s="21" t="s">
        <v>76</v>
      </c>
      <c r="D1278" s="95"/>
    </row>
    <row r="1279" spans="2:15" x14ac:dyDescent="0.25">
      <c r="B1279" s="2" t="s">
        <v>60</v>
      </c>
      <c r="C1279" s="21" t="s">
        <v>89</v>
      </c>
      <c r="D1279" s="95" t="s">
        <v>154</v>
      </c>
    </row>
    <row r="1280" spans="2:15" x14ac:dyDescent="0.25">
      <c r="B1280" s="2" t="s">
        <v>61</v>
      </c>
      <c r="C1280" s="27">
        <f>+(E1268)*D1280</f>
        <v>445.82752682286667</v>
      </c>
      <c r="D1280" s="43">
        <v>0.4</v>
      </c>
    </row>
    <row r="1283" spans="1:18" ht="26.25" x14ac:dyDescent="0.4">
      <c r="A1283" s="88" t="s">
        <v>311</v>
      </c>
      <c r="B1283" s="34" t="s">
        <v>145</v>
      </c>
      <c r="C1283" s="93" t="s">
        <v>456</v>
      </c>
      <c r="D1283" s="137" t="s">
        <v>323</v>
      </c>
      <c r="E1283" s="137"/>
      <c r="F1283" s="137"/>
    </row>
    <row r="1284" spans="1:18" x14ac:dyDescent="0.25">
      <c r="B1284" s="112" t="s">
        <v>398</v>
      </c>
      <c r="C1284" s="113"/>
      <c r="D1284" s="113"/>
      <c r="E1284" s="113"/>
      <c r="F1284" s="113"/>
      <c r="G1284" s="113"/>
      <c r="H1284" s="113"/>
      <c r="I1284" s="113"/>
      <c r="J1284" s="113"/>
      <c r="K1284" s="113"/>
      <c r="L1284" s="113"/>
      <c r="M1284" s="113"/>
      <c r="N1284" s="113"/>
      <c r="O1284" s="113"/>
      <c r="P1284" s="113"/>
      <c r="Q1284" s="113"/>
      <c r="R1284" s="113"/>
    </row>
    <row r="1285" spans="1:18" x14ac:dyDescent="0.25">
      <c r="B1285" s="2" t="s">
        <v>6</v>
      </c>
      <c r="C1285" s="3" t="s">
        <v>67</v>
      </c>
      <c r="D1285" s="100" t="s">
        <v>8</v>
      </c>
      <c r="E1285" s="5" t="s">
        <v>9</v>
      </c>
      <c r="F1285" s="5" t="s">
        <v>14</v>
      </c>
      <c r="G1285" s="5" t="s">
        <v>10</v>
      </c>
      <c r="H1285" s="5" t="s">
        <v>11</v>
      </c>
      <c r="I1285" s="5" t="s">
        <v>148</v>
      </c>
      <c r="J1285" s="5" t="s">
        <v>149</v>
      </c>
      <c r="K1285" s="5" t="s">
        <v>12</v>
      </c>
      <c r="L1285" s="5" t="s">
        <v>13</v>
      </c>
      <c r="M1285" s="5" t="s">
        <v>40</v>
      </c>
      <c r="N1285" s="5" t="s">
        <v>14</v>
      </c>
      <c r="O1285" s="5" t="s">
        <v>15</v>
      </c>
      <c r="P1285" s="5" t="s">
        <v>16</v>
      </c>
      <c r="Q1285" s="5" t="s">
        <v>17</v>
      </c>
      <c r="R1285" s="5" t="s">
        <v>18</v>
      </c>
    </row>
    <row r="1286" spans="1:18" x14ac:dyDescent="0.25">
      <c r="B1286" s="2" t="s">
        <v>19</v>
      </c>
      <c r="C1286" s="15" t="s">
        <v>68</v>
      </c>
      <c r="D1286" s="95">
        <v>400</v>
      </c>
      <c r="E1286" s="95" t="s">
        <v>446</v>
      </c>
      <c r="F1286" s="43">
        <v>0.12</v>
      </c>
      <c r="G1286" s="7" t="s">
        <v>79</v>
      </c>
      <c r="H1286" s="51">
        <v>0.14000000000000001</v>
      </c>
      <c r="I1286" s="51">
        <f>+IF(F1286=0%,D1286*H1286,0)</f>
        <v>0</v>
      </c>
      <c r="J1286" s="51">
        <f>+IF(F1286=12%,D1286*H1286,0)</f>
        <v>56.000000000000007</v>
      </c>
      <c r="K1286" s="85">
        <f>+L1286*100/J1286</f>
        <v>44.366349902680824</v>
      </c>
      <c r="L1286" s="86">
        <f>$L$1294/($E$1293+$E$1294)*J1286</f>
        <v>24.845155945501265</v>
      </c>
      <c r="M1286" s="53">
        <f>+L1286</f>
        <v>24.845155945501265</v>
      </c>
      <c r="N1286" s="53">
        <f t="shared" ref="N1286:N1292" si="41">+(J1286-M1286)*F1286</f>
        <v>3.7385812865398491</v>
      </c>
      <c r="O1286" s="53">
        <f>+J1286-M1286+N1286</f>
        <v>34.893425341038594</v>
      </c>
      <c r="P1286" s="7" t="s">
        <v>301</v>
      </c>
      <c r="Q1286" s="95" t="s">
        <v>81</v>
      </c>
      <c r="R1286" s="7" t="s">
        <v>25</v>
      </c>
    </row>
    <row r="1287" spans="1:18" x14ac:dyDescent="0.25">
      <c r="B1287" s="2" t="s">
        <v>21</v>
      </c>
      <c r="C1287" s="15" t="s">
        <v>22</v>
      </c>
      <c r="D1287" s="95">
        <v>28</v>
      </c>
      <c r="E1287" s="95" t="s">
        <v>447</v>
      </c>
      <c r="F1287" s="43">
        <v>0.12</v>
      </c>
      <c r="G1287" s="7" t="s">
        <v>82</v>
      </c>
      <c r="H1287" s="51">
        <v>4.59</v>
      </c>
      <c r="I1287" s="51">
        <f t="shared" ref="I1287:I1292" si="42">+IF(F1287=0%,D1287*H1287,0)</f>
        <v>0</v>
      </c>
      <c r="J1287" s="51">
        <f t="shared" ref="J1287:J1292" si="43">+IF(F1287=12%,D1287*H1287,0)</f>
        <v>128.51999999999998</v>
      </c>
      <c r="K1287" s="85">
        <f t="shared" ref="K1287:K1292" si="44">+L1287*100/J1287</f>
        <v>44.366349902680824</v>
      </c>
      <c r="L1287" s="86">
        <f t="shared" ref="L1287:L1292" si="45">$L$1294/($E$1293+$E$1294)*J1287</f>
        <v>57.019632894925387</v>
      </c>
      <c r="M1287" s="53">
        <f t="shared" ref="M1287:M1292" si="46">+L1287</f>
        <v>57.019632894925387</v>
      </c>
      <c r="N1287" s="53">
        <f t="shared" si="41"/>
        <v>8.580044052608951</v>
      </c>
      <c r="O1287" s="53">
        <f>+J1287-M1287+N1287</f>
        <v>80.080411157683542</v>
      </c>
      <c r="P1287" s="7" t="s">
        <v>301</v>
      </c>
      <c r="Q1287" s="95" t="s">
        <v>81</v>
      </c>
      <c r="R1287" s="7" t="s">
        <v>25</v>
      </c>
    </row>
    <row r="1288" spans="1:18" ht="30" x14ac:dyDescent="0.25">
      <c r="B1288" s="2" t="s">
        <v>23</v>
      </c>
      <c r="C1288" s="30" t="s">
        <v>70</v>
      </c>
      <c r="D1288" s="95">
        <v>24</v>
      </c>
      <c r="E1288" s="95" t="s">
        <v>448</v>
      </c>
      <c r="F1288" s="43">
        <v>0.12</v>
      </c>
      <c r="G1288" s="7" t="s">
        <v>83</v>
      </c>
      <c r="H1288" s="51">
        <v>2.15</v>
      </c>
      <c r="I1288" s="51">
        <f t="shared" si="42"/>
        <v>0</v>
      </c>
      <c r="J1288" s="51">
        <f t="shared" si="43"/>
        <v>51.599999999999994</v>
      </c>
      <c r="K1288" s="85">
        <f t="shared" si="44"/>
        <v>44.366349902680831</v>
      </c>
      <c r="L1288" s="86">
        <f t="shared" si="45"/>
        <v>22.893036549783304</v>
      </c>
      <c r="M1288" s="53">
        <f t="shared" si="46"/>
        <v>22.893036549783304</v>
      </c>
      <c r="N1288" s="53">
        <f t="shared" si="41"/>
        <v>3.4448356140260028</v>
      </c>
      <c r="O1288" s="53">
        <f>+J1288-M1288+N1288</f>
        <v>32.151799064242695</v>
      </c>
      <c r="P1288" s="7" t="s">
        <v>301</v>
      </c>
      <c r="Q1288" s="95" t="s">
        <v>81</v>
      </c>
      <c r="R1288" s="7" t="s">
        <v>25</v>
      </c>
    </row>
    <row r="1289" spans="1:18" x14ac:dyDescent="0.25">
      <c r="B1289" s="2" t="s">
        <v>26</v>
      </c>
      <c r="C1289" s="12" t="s">
        <v>71</v>
      </c>
      <c r="D1289" s="95">
        <v>125</v>
      </c>
      <c r="E1289" s="95"/>
      <c r="F1289" s="43">
        <v>0</v>
      </c>
      <c r="G1289" s="7" t="s">
        <v>298</v>
      </c>
      <c r="H1289" s="51">
        <v>0.38</v>
      </c>
      <c r="I1289" s="51">
        <f t="shared" si="42"/>
        <v>47.5</v>
      </c>
      <c r="J1289" s="51">
        <f t="shared" si="43"/>
        <v>0</v>
      </c>
      <c r="K1289" s="85">
        <f>+L1289*100/I1289</f>
        <v>44.366349902680824</v>
      </c>
      <c r="L1289" s="86">
        <f>$L$1294/($E$1293+$E$1294)*I1289</f>
        <v>21.07401620377339</v>
      </c>
      <c r="M1289" s="53">
        <f t="shared" si="46"/>
        <v>21.07401620377339</v>
      </c>
      <c r="N1289" s="53">
        <f t="shared" si="41"/>
        <v>0</v>
      </c>
      <c r="O1289" s="53">
        <f>+I1289-M1289+N1289</f>
        <v>26.42598379622661</v>
      </c>
      <c r="P1289" s="7" t="s">
        <v>301</v>
      </c>
      <c r="Q1289" s="95" t="s">
        <v>81</v>
      </c>
      <c r="R1289" s="7" t="s">
        <v>25</v>
      </c>
    </row>
    <row r="1290" spans="1:18" x14ac:dyDescent="0.25">
      <c r="B1290" s="2" t="s">
        <v>27</v>
      </c>
      <c r="C1290" s="3" t="s">
        <v>28</v>
      </c>
      <c r="D1290" s="95">
        <v>750</v>
      </c>
      <c r="E1290" s="95"/>
      <c r="F1290" s="43">
        <v>0</v>
      </c>
      <c r="G1290" s="7" t="s">
        <v>299</v>
      </c>
      <c r="H1290" s="51">
        <v>0.08</v>
      </c>
      <c r="I1290" s="51">
        <f t="shared" si="42"/>
        <v>60</v>
      </c>
      <c r="J1290" s="51">
        <f t="shared" si="43"/>
        <v>0</v>
      </c>
      <c r="K1290" s="85">
        <f>+L1290*100/I1290</f>
        <v>44.366349902680824</v>
      </c>
      <c r="L1290" s="86">
        <f>$L$1294/($E$1293+$E$1294)*I1290</f>
        <v>26.619809941608494</v>
      </c>
      <c r="M1290" s="53">
        <f t="shared" si="46"/>
        <v>26.619809941608494</v>
      </c>
      <c r="N1290" s="53">
        <f t="shared" si="41"/>
        <v>0</v>
      </c>
      <c r="O1290" s="53">
        <f>+I1290-M1290+N1290</f>
        <v>33.380190058391506</v>
      </c>
      <c r="P1290" s="7" t="s">
        <v>301</v>
      </c>
      <c r="Q1290" s="95" t="s">
        <v>81</v>
      </c>
      <c r="R1290" s="7" t="s">
        <v>25</v>
      </c>
    </row>
    <row r="1291" spans="1:18" x14ac:dyDescent="0.25">
      <c r="B1291" s="2" t="s">
        <v>29</v>
      </c>
      <c r="C1291" s="3">
        <v>1</v>
      </c>
      <c r="D1291" s="95">
        <v>1200</v>
      </c>
      <c r="E1291" s="95"/>
      <c r="F1291" s="43">
        <v>0</v>
      </c>
      <c r="G1291" s="7" t="s">
        <v>300</v>
      </c>
      <c r="H1291" s="83">
        <v>0.03</v>
      </c>
      <c r="I1291" s="83">
        <f t="shared" si="42"/>
        <v>36</v>
      </c>
      <c r="J1291" s="83">
        <f t="shared" si="43"/>
        <v>0</v>
      </c>
      <c r="K1291" s="85">
        <f>+L1291*100/I1291</f>
        <v>44.366349902680824</v>
      </c>
      <c r="L1291" s="86">
        <f>$L$1294/($E$1293+$E$1294)*I1291</f>
        <v>15.971885964965097</v>
      </c>
      <c r="M1291" s="53">
        <f t="shared" si="46"/>
        <v>15.971885964965097</v>
      </c>
      <c r="N1291" s="84">
        <f t="shared" si="41"/>
        <v>0</v>
      </c>
      <c r="O1291" s="53">
        <f>+I1291-M1291+N1291</f>
        <v>20.028114035034903</v>
      </c>
      <c r="P1291" s="7" t="s">
        <v>301</v>
      </c>
      <c r="Q1291" s="95" t="s">
        <v>81</v>
      </c>
      <c r="R1291" s="7" t="s">
        <v>25</v>
      </c>
    </row>
    <row r="1292" spans="1:18" ht="15.75" thickBot="1" x14ac:dyDescent="0.3">
      <c r="B1292" s="2" t="s">
        <v>30</v>
      </c>
      <c r="C1292" s="7">
        <v>1122728319</v>
      </c>
      <c r="D1292" s="95">
        <v>786.37</v>
      </c>
      <c r="E1292" s="95" t="s">
        <v>111</v>
      </c>
      <c r="F1292" s="43">
        <v>0.12</v>
      </c>
      <c r="G1292" s="7" t="s">
        <v>112</v>
      </c>
      <c r="H1292" s="84">
        <v>0.89</v>
      </c>
      <c r="I1292" s="84">
        <f t="shared" si="42"/>
        <v>0</v>
      </c>
      <c r="J1292" s="53">
        <f t="shared" si="43"/>
        <v>699.86930000000007</v>
      </c>
      <c r="K1292" s="85">
        <f t="shared" si="44"/>
        <v>44.366349902680824</v>
      </c>
      <c r="L1292" s="86">
        <f t="shared" si="45"/>
        <v>310.50646249944299</v>
      </c>
      <c r="M1292" s="53">
        <f t="shared" si="46"/>
        <v>310.50646249944299</v>
      </c>
      <c r="N1292" s="53">
        <f t="shared" si="41"/>
        <v>46.723540500066846</v>
      </c>
      <c r="O1292" s="53">
        <f>+J1292-M1292+N1292</f>
        <v>436.08637800062394</v>
      </c>
      <c r="P1292" s="7" t="s">
        <v>45</v>
      </c>
      <c r="Q1292" s="95" t="s">
        <v>46</v>
      </c>
      <c r="R1292" s="7" t="s">
        <v>45</v>
      </c>
    </row>
    <row r="1293" spans="1:18" ht="15.75" thickBot="1" x14ac:dyDescent="0.3">
      <c r="B1293" s="2" t="s">
        <v>31</v>
      </c>
      <c r="C1293" s="14">
        <v>43511</v>
      </c>
      <c r="D1293" s="16" t="s">
        <v>34</v>
      </c>
      <c r="E1293" s="40">
        <f>+SUM(I1286:I1292)</f>
        <v>143.5</v>
      </c>
      <c r="L1293" s="92"/>
    </row>
    <row r="1294" spans="1:18" ht="15.75" thickBot="1" x14ac:dyDescent="0.3">
      <c r="B1294" s="2" t="s">
        <v>32</v>
      </c>
      <c r="C1294" s="15" t="s">
        <v>33</v>
      </c>
      <c r="D1294" s="16" t="s">
        <v>36</v>
      </c>
      <c r="E1294" s="17">
        <f>+SUM(J1286:J1292)</f>
        <v>935.98930000000007</v>
      </c>
      <c r="J1294" s="138" t="s">
        <v>324</v>
      </c>
      <c r="K1294" s="138"/>
      <c r="L1294" s="140">
        <v>478.93</v>
      </c>
    </row>
    <row r="1295" spans="1:18" ht="15.75" thickBot="1" x14ac:dyDescent="0.3">
      <c r="B1295" s="2" t="s">
        <v>35</v>
      </c>
      <c r="C1295" s="15" t="s">
        <v>33</v>
      </c>
      <c r="D1295" s="16" t="s">
        <v>39</v>
      </c>
      <c r="E1295" s="17">
        <f>SUM(M1286:M1292)</f>
        <v>478.92999999999995</v>
      </c>
      <c r="J1295" s="138"/>
      <c r="K1295" s="138"/>
      <c r="L1295" s="140"/>
    </row>
    <row r="1296" spans="1:18" ht="15.75" thickBot="1" x14ac:dyDescent="0.3">
      <c r="B1296" s="2" t="s">
        <v>37</v>
      </c>
      <c r="C1296" s="15" t="s">
        <v>379</v>
      </c>
      <c r="D1296" s="16" t="s">
        <v>14</v>
      </c>
      <c r="E1296" s="17">
        <f>SUM(N1286:N1292)</f>
        <v>62.487001453241646</v>
      </c>
    </row>
    <row r="1297" spans="2:15" ht="15.75" thickBot="1" x14ac:dyDescent="0.3">
      <c r="B1297" s="18"/>
      <c r="C1297" s="18"/>
      <c r="D1297" s="16" t="s">
        <v>15</v>
      </c>
      <c r="E1297" s="17">
        <f>SUM(O1286:O1292)</f>
        <v>663.04630145324177</v>
      </c>
    </row>
    <row r="1298" spans="2:15" x14ac:dyDescent="0.25">
      <c r="B1298" s="18"/>
      <c r="C1298" s="18"/>
    </row>
    <row r="1300" spans="2:15" x14ac:dyDescent="0.25">
      <c r="B1300" s="114" t="s">
        <v>399</v>
      </c>
      <c r="C1300" s="114"/>
      <c r="D1300" s="114"/>
      <c r="E1300" s="114"/>
      <c r="F1300" s="114"/>
      <c r="G1300" s="114"/>
      <c r="H1300" s="114"/>
      <c r="I1300" s="114"/>
      <c r="J1300" s="114"/>
      <c r="K1300" s="114"/>
      <c r="L1300" s="114"/>
      <c r="M1300" s="114"/>
      <c r="N1300" s="114"/>
      <c r="O1300" s="114"/>
    </row>
    <row r="1301" spans="2:15" x14ac:dyDescent="0.25">
      <c r="B1301" s="2" t="s">
        <v>48</v>
      </c>
      <c r="C1301" s="15" t="s">
        <v>33</v>
      </c>
      <c r="D1301" s="19" t="s">
        <v>16</v>
      </c>
      <c r="E1301" s="115" t="s">
        <v>152</v>
      </c>
      <c r="F1301" s="116"/>
      <c r="G1301" s="99" t="s">
        <v>150</v>
      </c>
      <c r="H1301" s="117" t="s">
        <v>49</v>
      </c>
      <c r="I1301" s="118"/>
      <c r="J1301" s="117" t="s">
        <v>151</v>
      </c>
      <c r="K1301" s="118"/>
      <c r="L1301" s="5" t="s">
        <v>50</v>
      </c>
      <c r="M1301" s="5" t="s">
        <v>51</v>
      </c>
      <c r="N1301" s="117" t="s">
        <v>155</v>
      </c>
      <c r="O1301" s="118"/>
    </row>
    <row r="1302" spans="2:15" x14ac:dyDescent="0.25">
      <c r="B1302" s="2" t="s">
        <v>52</v>
      </c>
      <c r="C1302" s="15" t="s">
        <v>33</v>
      </c>
      <c r="D1302" s="95" t="s">
        <v>181</v>
      </c>
      <c r="E1302" s="119" t="s">
        <v>472</v>
      </c>
      <c r="F1302" s="119"/>
      <c r="G1302" s="96">
        <v>731</v>
      </c>
      <c r="H1302" s="120" t="s">
        <v>14</v>
      </c>
      <c r="I1302" s="121"/>
      <c r="J1302" s="122">
        <v>0.2</v>
      </c>
      <c r="K1302" s="123"/>
      <c r="L1302" s="20">
        <f>+E1296*J1302</f>
        <v>12.497400290648329</v>
      </c>
      <c r="M1302" s="124">
        <f>+L1302+L1303</f>
        <v>24.508586290648335</v>
      </c>
      <c r="N1302" s="126">
        <f>+E1297-M1302</f>
        <v>638.53771516259349</v>
      </c>
      <c r="O1302" s="127"/>
    </row>
    <row r="1303" spans="2:15" x14ac:dyDescent="0.25">
      <c r="B1303" s="2" t="s">
        <v>53</v>
      </c>
      <c r="C1303" s="15" t="s">
        <v>164</v>
      </c>
      <c r="D1303" s="95" t="s">
        <v>175</v>
      </c>
      <c r="E1303" s="119" t="s">
        <v>468</v>
      </c>
      <c r="F1303" s="119"/>
      <c r="G1303" s="96">
        <v>311</v>
      </c>
      <c r="H1303" s="120" t="s">
        <v>153</v>
      </c>
      <c r="I1303" s="121"/>
      <c r="J1303" s="122">
        <v>0.02</v>
      </c>
      <c r="K1303" s="123"/>
      <c r="L1303" s="20">
        <f>(E1294+E1293-E1295)*J1303</f>
        <v>12.011186000000006</v>
      </c>
      <c r="M1303" s="125"/>
      <c r="N1303" s="128"/>
      <c r="O1303" s="129"/>
    </row>
    <row r="1304" spans="2:15" x14ac:dyDescent="0.25">
      <c r="B1304" s="2" t="s">
        <v>55</v>
      </c>
      <c r="C1304" s="3" t="str">
        <f>+CONCATENATE(C1294,"-",C1295,"-",C1296)</f>
        <v>001-001-142</v>
      </c>
    </row>
    <row r="1305" spans="2:15" x14ac:dyDescent="0.25">
      <c r="B1305" s="2" t="s">
        <v>57</v>
      </c>
      <c r="C1305" s="21">
        <f>+C1293</f>
        <v>43511</v>
      </c>
    </row>
    <row r="1306" spans="2:15" x14ac:dyDescent="0.25">
      <c r="B1306" s="2" t="s">
        <v>86</v>
      </c>
      <c r="C1306" s="21" t="s">
        <v>143</v>
      </c>
    </row>
    <row r="1307" spans="2:15" x14ac:dyDescent="0.25">
      <c r="B1307" s="2" t="s">
        <v>58</v>
      </c>
      <c r="C1307" s="21" t="s">
        <v>73</v>
      </c>
      <c r="E1307" s="31" t="s">
        <v>279</v>
      </c>
    </row>
    <row r="1308" spans="2:15" x14ac:dyDescent="0.25">
      <c r="B1308" s="2" t="s">
        <v>60</v>
      </c>
      <c r="C1308" s="21" t="s">
        <v>74</v>
      </c>
      <c r="D1308" s="95" t="s">
        <v>154</v>
      </c>
    </row>
    <row r="1309" spans="2:15" x14ac:dyDescent="0.25">
      <c r="B1309" s="2" t="s">
        <v>61</v>
      </c>
      <c r="C1309" s="27">
        <f>+(E1297-M1302)*D1309</f>
        <v>383.12262909755606</v>
      </c>
      <c r="D1309" s="43">
        <v>0.6</v>
      </c>
    </row>
    <row r="1310" spans="2:15" x14ac:dyDescent="0.25">
      <c r="B1310" s="2" t="s">
        <v>147</v>
      </c>
      <c r="C1310" s="21" t="s">
        <v>84</v>
      </c>
    </row>
    <row r="1311" spans="2:15" x14ac:dyDescent="0.25">
      <c r="B1311" s="2" t="s">
        <v>60</v>
      </c>
      <c r="C1311" s="21" t="s">
        <v>85</v>
      </c>
      <c r="D1311" s="95" t="s">
        <v>154</v>
      </c>
    </row>
    <row r="1312" spans="2:15" x14ac:dyDescent="0.25">
      <c r="B1312" s="2" t="s">
        <v>61</v>
      </c>
      <c r="C1312" s="27">
        <f>+(E1297-M1302)*D1312</f>
        <v>255.4150860650374</v>
      </c>
      <c r="D1312" s="43">
        <v>0.4</v>
      </c>
    </row>
  </sheetData>
  <mergeCells count="429">
    <mergeCell ref="E1302:F1302"/>
    <mergeCell ref="H1302:I1302"/>
    <mergeCell ref="J1302:K1302"/>
    <mergeCell ref="M1302:M1303"/>
    <mergeCell ref="N1302:O1303"/>
    <mergeCell ref="E1303:F1303"/>
    <mergeCell ref="H1303:I1303"/>
    <mergeCell ref="J1303:K1303"/>
    <mergeCell ref="D1283:F1283"/>
    <mergeCell ref="B1284:R1284"/>
    <mergeCell ref="J1294:K1295"/>
    <mergeCell ref="L1294:L1295"/>
    <mergeCell ref="B1300:O1300"/>
    <mergeCell ref="E1301:F1301"/>
    <mergeCell ref="H1301:I1301"/>
    <mergeCell ref="J1301:K1301"/>
    <mergeCell ref="N1301:O1301"/>
    <mergeCell ref="B1247:O1247"/>
    <mergeCell ref="D1254:F1254"/>
    <mergeCell ref="B1255:R1255"/>
    <mergeCell ref="J1265:K1266"/>
    <mergeCell ref="L1265:L1266"/>
    <mergeCell ref="B1271:O1271"/>
    <mergeCell ref="I1218:J1219"/>
    <mergeCell ref="K1218:K1219"/>
    <mergeCell ref="B1223:O1223"/>
    <mergeCell ref="D1230:F1230"/>
    <mergeCell ref="B1231:R1231"/>
    <mergeCell ref="J1241:K1242"/>
    <mergeCell ref="L1241:L1242"/>
    <mergeCell ref="B1184:R1184"/>
    <mergeCell ref="I1194:J1195"/>
    <mergeCell ref="K1194:K1195"/>
    <mergeCell ref="B1200:O1200"/>
    <mergeCell ref="D1207:F1207"/>
    <mergeCell ref="B1208:R1208"/>
    <mergeCell ref="D1159:F1159"/>
    <mergeCell ref="B1160:R1160"/>
    <mergeCell ref="I1170:J1171"/>
    <mergeCell ref="K1170:K1171"/>
    <mergeCell ref="B1176:O1176"/>
    <mergeCell ref="D1183:F1183"/>
    <mergeCell ref="E1145:F1145"/>
    <mergeCell ref="H1145:I1145"/>
    <mergeCell ref="J1145:K1145"/>
    <mergeCell ref="M1145:M1146"/>
    <mergeCell ref="N1145:O1146"/>
    <mergeCell ref="E1146:F1146"/>
    <mergeCell ref="H1146:I1146"/>
    <mergeCell ref="J1146:K1146"/>
    <mergeCell ref="D1126:F1126"/>
    <mergeCell ref="B1127:R1127"/>
    <mergeCell ref="L1136:L1140"/>
    <mergeCell ref="B1143:O1143"/>
    <mergeCell ref="E1144:F1144"/>
    <mergeCell ref="H1144:I1144"/>
    <mergeCell ref="J1144:K1144"/>
    <mergeCell ref="N1144:O1144"/>
    <mergeCell ref="E1111:F1111"/>
    <mergeCell ref="H1111:I1111"/>
    <mergeCell ref="J1111:K1111"/>
    <mergeCell ref="M1111:M1112"/>
    <mergeCell ref="N1111:O1112"/>
    <mergeCell ref="E1112:F1112"/>
    <mergeCell ref="H1112:I1112"/>
    <mergeCell ref="J1112:K1112"/>
    <mergeCell ref="D1092:F1092"/>
    <mergeCell ref="B1093:R1093"/>
    <mergeCell ref="L1102:L1106"/>
    <mergeCell ref="B1109:O1109"/>
    <mergeCell ref="E1110:F1110"/>
    <mergeCell ref="H1110:I1110"/>
    <mergeCell ref="J1110:K1110"/>
    <mergeCell ref="N1110:O1110"/>
    <mergeCell ref="E1082:F1082"/>
    <mergeCell ref="H1082:I1082"/>
    <mergeCell ref="J1082:K1082"/>
    <mergeCell ref="M1082:M1083"/>
    <mergeCell ref="N1082:O1083"/>
    <mergeCell ref="E1083:F1083"/>
    <mergeCell ref="H1083:I1083"/>
    <mergeCell ref="J1083:K1083"/>
    <mergeCell ref="D1063:F1063"/>
    <mergeCell ref="B1064:R1064"/>
    <mergeCell ref="L1073:L1077"/>
    <mergeCell ref="B1080:O1080"/>
    <mergeCell ref="E1081:F1081"/>
    <mergeCell ref="H1081:I1081"/>
    <mergeCell ref="J1081:K1081"/>
    <mergeCell ref="N1081:O1081"/>
    <mergeCell ref="E1053:F1053"/>
    <mergeCell ref="H1053:I1053"/>
    <mergeCell ref="J1053:K1053"/>
    <mergeCell ref="M1053:M1054"/>
    <mergeCell ref="N1053:O1054"/>
    <mergeCell ref="E1054:F1054"/>
    <mergeCell ref="H1054:I1054"/>
    <mergeCell ref="J1054:K1054"/>
    <mergeCell ref="D1035:F1035"/>
    <mergeCell ref="B1036:R1036"/>
    <mergeCell ref="K1045:K1049"/>
    <mergeCell ref="B1051:O1051"/>
    <mergeCell ref="E1052:F1052"/>
    <mergeCell ref="H1052:I1052"/>
    <mergeCell ref="J1052:K1052"/>
    <mergeCell ref="N1052:O1052"/>
    <mergeCell ref="E1025:F1025"/>
    <mergeCell ref="H1025:I1025"/>
    <mergeCell ref="J1025:K1025"/>
    <mergeCell ref="M1025:M1026"/>
    <mergeCell ref="N1025:O1026"/>
    <mergeCell ref="E1026:F1026"/>
    <mergeCell ref="H1026:I1026"/>
    <mergeCell ref="J1026:K1026"/>
    <mergeCell ref="D1006:F1006"/>
    <mergeCell ref="B1007:R1007"/>
    <mergeCell ref="K1016:K1020"/>
    <mergeCell ref="B1023:O1023"/>
    <mergeCell ref="E1024:F1024"/>
    <mergeCell ref="H1024:I1024"/>
    <mergeCell ref="J1024:K1024"/>
    <mergeCell ref="N1024:O1024"/>
    <mergeCell ref="E996:F996"/>
    <mergeCell ref="H996:I996"/>
    <mergeCell ref="J996:K996"/>
    <mergeCell ref="M996:M997"/>
    <mergeCell ref="N996:O997"/>
    <mergeCell ref="E997:F997"/>
    <mergeCell ref="H997:I997"/>
    <mergeCell ref="J997:K997"/>
    <mergeCell ref="D977:F977"/>
    <mergeCell ref="B978:R978"/>
    <mergeCell ref="K987:K991"/>
    <mergeCell ref="B994:O994"/>
    <mergeCell ref="E995:F995"/>
    <mergeCell ref="H995:I995"/>
    <mergeCell ref="J995:K995"/>
    <mergeCell ref="N995:O995"/>
    <mergeCell ref="B901:R901"/>
    <mergeCell ref="B916:O916"/>
    <mergeCell ref="B924:R924"/>
    <mergeCell ref="B939:O939"/>
    <mergeCell ref="B952:R952"/>
    <mergeCell ref="B967:O967"/>
    <mergeCell ref="B832:R832"/>
    <mergeCell ref="B847:O847"/>
    <mergeCell ref="B855:R855"/>
    <mergeCell ref="B870:O870"/>
    <mergeCell ref="B878:R878"/>
    <mergeCell ref="B893:O893"/>
    <mergeCell ref="E818:F818"/>
    <mergeCell ref="H818:I818"/>
    <mergeCell ref="J818:K818"/>
    <mergeCell ref="M818:M819"/>
    <mergeCell ref="N818:O819"/>
    <mergeCell ref="E819:F819"/>
    <mergeCell ref="H819:I819"/>
    <mergeCell ref="J819:K819"/>
    <mergeCell ref="B801:R801"/>
    <mergeCell ref="B816:O816"/>
    <mergeCell ref="E817:F817"/>
    <mergeCell ref="H817:I817"/>
    <mergeCell ref="J817:K817"/>
    <mergeCell ref="N817:O817"/>
    <mergeCell ref="E785:F785"/>
    <mergeCell ref="H785:I785"/>
    <mergeCell ref="J785:K785"/>
    <mergeCell ref="M785:M786"/>
    <mergeCell ref="N785:O786"/>
    <mergeCell ref="E786:F786"/>
    <mergeCell ref="H786:I786"/>
    <mergeCell ref="J786:K786"/>
    <mergeCell ref="B768:R768"/>
    <mergeCell ref="B783:O783"/>
    <mergeCell ref="E784:F784"/>
    <mergeCell ref="H784:I784"/>
    <mergeCell ref="J784:K784"/>
    <mergeCell ref="N784:O784"/>
    <mergeCell ref="E757:F757"/>
    <mergeCell ref="H757:I757"/>
    <mergeCell ref="J757:K757"/>
    <mergeCell ref="M757:M758"/>
    <mergeCell ref="N757:O758"/>
    <mergeCell ref="E758:F758"/>
    <mergeCell ref="H758:I758"/>
    <mergeCell ref="J758:K758"/>
    <mergeCell ref="B740:R740"/>
    <mergeCell ref="B755:O755"/>
    <mergeCell ref="E756:F756"/>
    <mergeCell ref="H756:I756"/>
    <mergeCell ref="J756:K756"/>
    <mergeCell ref="N756:O756"/>
    <mergeCell ref="E729:F729"/>
    <mergeCell ref="H729:I729"/>
    <mergeCell ref="J729:K729"/>
    <mergeCell ref="M729:M730"/>
    <mergeCell ref="N729:O730"/>
    <mergeCell ref="E730:F730"/>
    <mergeCell ref="H730:I730"/>
    <mergeCell ref="J730:K730"/>
    <mergeCell ref="B712:R712"/>
    <mergeCell ref="B727:O727"/>
    <mergeCell ref="E728:F728"/>
    <mergeCell ref="H728:I728"/>
    <mergeCell ref="J728:K728"/>
    <mergeCell ref="N728:O728"/>
    <mergeCell ref="E701:F701"/>
    <mergeCell ref="H701:I701"/>
    <mergeCell ref="J701:K701"/>
    <mergeCell ref="M701:M702"/>
    <mergeCell ref="N701:O702"/>
    <mergeCell ref="E702:F702"/>
    <mergeCell ref="H702:I702"/>
    <mergeCell ref="J702:K702"/>
    <mergeCell ref="B684:R684"/>
    <mergeCell ref="B699:O699"/>
    <mergeCell ref="E700:F700"/>
    <mergeCell ref="H700:I700"/>
    <mergeCell ref="J700:K700"/>
    <mergeCell ref="N700:O700"/>
    <mergeCell ref="E673:F673"/>
    <mergeCell ref="H673:I673"/>
    <mergeCell ref="J673:K673"/>
    <mergeCell ref="M673:M674"/>
    <mergeCell ref="N673:O674"/>
    <mergeCell ref="E674:F674"/>
    <mergeCell ref="H674:I674"/>
    <mergeCell ref="J674:K674"/>
    <mergeCell ref="B656:R656"/>
    <mergeCell ref="B671:O671"/>
    <mergeCell ref="E672:F672"/>
    <mergeCell ref="H672:I672"/>
    <mergeCell ref="J672:K672"/>
    <mergeCell ref="N672:O672"/>
    <mergeCell ref="B578:R578"/>
    <mergeCell ref="B593:O593"/>
    <mergeCell ref="B601:R601"/>
    <mergeCell ref="B616:O616"/>
    <mergeCell ref="B630:R630"/>
    <mergeCell ref="B645:O645"/>
    <mergeCell ref="B509:R509"/>
    <mergeCell ref="B524:O524"/>
    <mergeCell ref="B532:R532"/>
    <mergeCell ref="B547:O547"/>
    <mergeCell ref="B555:R555"/>
    <mergeCell ref="B570:O570"/>
    <mergeCell ref="E495:F495"/>
    <mergeCell ref="H495:I495"/>
    <mergeCell ref="J495:K495"/>
    <mergeCell ref="M495:M496"/>
    <mergeCell ref="N495:O496"/>
    <mergeCell ref="E496:F496"/>
    <mergeCell ref="H496:I496"/>
    <mergeCell ref="J496:K496"/>
    <mergeCell ref="B478:R478"/>
    <mergeCell ref="B493:O493"/>
    <mergeCell ref="E494:F494"/>
    <mergeCell ref="H494:I494"/>
    <mergeCell ref="J494:K494"/>
    <mergeCell ref="N494:O494"/>
    <mergeCell ref="E462:F462"/>
    <mergeCell ref="H462:I462"/>
    <mergeCell ref="J462:K462"/>
    <mergeCell ref="M462:M463"/>
    <mergeCell ref="N462:O463"/>
    <mergeCell ref="E463:F463"/>
    <mergeCell ref="H463:I463"/>
    <mergeCell ref="J463:K463"/>
    <mergeCell ref="B445:R445"/>
    <mergeCell ref="B460:O460"/>
    <mergeCell ref="E461:F461"/>
    <mergeCell ref="H461:I461"/>
    <mergeCell ref="J461:K461"/>
    <mergeCell ref="N461:O461"/>
    <mergeCell ref="E434:F434"/>
    <mergeCell ref="H434:I434"/>
    <mergeCell ref="J434:K434"/>
    <mergeCell ref="M434:M435"/>
    <mergeCell ref="N434:O435"/>
    <mergeCell ref="E435:F435"/>
    <mergeCell ref="H435:I435"/>
    <mergeCell ref="J435:K435"/>
    <mergeCell ref="B417:R417"/>
    <mergeCell ref="B432:O432"/>
    <mergeCell ref="E433:F433"/>
    <mergeCell ref="H433:I433"/>
    <mergeCell ref="J433:K433"/>
    <mergeCell ref="N433:O433"/>
    <mergeCell ref="E406:F406"/>
    <mergeCell ref="H406:I406"/>
    <mergeCell ref="J406:K406"/>
    <mergeCell ref="M406:M407"/>
    <mergeCell ref="N406:O407"/>
    <mergeCell ref="E407:F407"/>
    <mergeCell ref="H407:I407"/>
    <mergeCell ref="J407:K407"/>
    <mergeCell ref="B389:R389"/>
    <mergeCell ref="B404:O404"/>
    <mergeCell ref="E405:F405"/>
    <mergeCell ref="H405:I405"/>
    <mergeCell ref="J405:K405"/>
    <mergeCell ref="N405:O405"/>
    <mergeCell ref="E378:F378"/>
    <mergeCell ref="H378:I378"/>
    <mergeCell ref="J378:K378"/>
    <mergeCell ref="M378:M379"/>
    <mergeCell ref="N378:O379"/>
    <mergeCell ref="E379:F379"/>
    <mergeCell ref="H379:I379"/>
    <mergeCell ref="J379:K379"/>
    <mergeCell ref="B361:R361"/>
    <mergeCell ref="B376:O376"/>
    <mergeCell ref="E377:F377"/>
    <mergeCell ref="H377:I377"/>
    <mergeCell ref="J377:K377"/>
    <mergeCell ref="N377:O377"/>
    <mergeCell ref="E350:F350"/>
    <mergeCell ref="H350:I350"/>
    <mergeCell ref="J350:K350"/>
    <mergeCell ref="M350:M351"/>
    <mergeCell ref="N350:O351"/>
    <mergeCell ref="E351:F351"/>
    <mergeCell ref="H351:I351"/>
    <mergeCell ref="J351:K351"/>
    <mergeCell ref="B333:R333"/>
    <mergeCell ref="B348:O348"/>
    <mergeCell ref="E349:F349"/>
    <mergeCell ref="H349:I349"/>
    <mergeCell ref="J349:K349"/>
    <mergeCell ref="N349:O349"/>
    <mergeCell ref="B255:R255"/>
    <mergeCell ref="B270:O270"/>
    <mergeCell ref="B278:R278"/>
    <mergeCell ref="B293:O293"/>
    <mergeCell ref="B307:R307"/>
    <mergeCell ref="B322:O322"/>
    <mergeCell ref="B186:R186"/>
    <mergeCell ref="B201:O201"/>
    <mergeCell ref="B209:R209"/>
    <mergeCell ref="B224:O224"/>
    <mergeCell ref="B232:R232"/>
    <mergeCell ref="B247:O247"/>
    <mergeCell ref="E172:F172"/>
    <mergeCell ref="H172:I172"/>
    <mergeCell ref="J172:K172"/>
    <mergeCell ref="M172:M173"/>
    <mergeCell ref="N172:O173"/>
    <mergeCell ref="E173:F173"/>
    <mergeCell ref="H173:I173"/>
    <mergeCell ref="J173:K173"/>
    <mergeCell ref="B155:R155"/>
    <mergeCell ref="B170:O170"/>
    <mergeCell ref="E171:F171"/>
    <mergeCell ref="H171:I171"/>
    <mergeCell ref="J171:K171"/>
    <mergeCell ref="N171:O171"/>
    <mergeCell ref="E139:F139"/>
    <mergeCell ref="H139:I139"/>
    <mergeCell ref="J139:K139"/>
    <mergeCell ref="M139:M140"/>
    <mergeCell ref="N139:O140"/>
    <mergeCell ref="E140:F140"/>
    <mergeCell ref="H140:I140"/>
    <mergeCell ref="J140:K140"/>
    <mergeCell ref="B122:R122"/>
    <mergeCell ref="B137:O137"/>
    <mergeCell ref="E138:F138"/>
    <mergeCell ref="H138:I138"/>
    <mergeCell ref="J138:K138"/>
    <mergeCell ref="N138:O138"/>
    <mergeCell ref="E111:F111"/>
    <mergeCell ref="H111:I111"/>
    <mergeCell ref="J111:K111"/>
    <mergeCell ref="M111:M112"/>
    <mergeCell ref="N111:O112"/>
    <mergeCell ref="E112:F112"/>
    <mergeCell ref="H112:I112"/>
    <mergeCell ref="J112:K112"/>
    <mergeCell ref="B94:R94"/>
    <mergeCell ref="B109:O109"/>
    <mergeCell ref="E110:F110"/>
    <mergeCell ref="H110:I110"/>
    <mergeCell ref="J110:K110"/>
    <mergeCell ref="N110:O110"/>
    <mergeCell ref="E82:F82"/>
    <mergeCell ref="H82:I82"/>
    <mergeCell ref="J82:K82"/>
    <mergeCell ref="M82:M83"/>
    <mergeCell ref="N82:O83"/>
    <mergeCell ref="E83:F83"/>
    <mergeCell ref="H83:I83"/>
    <mergeCell ref="J83:K83"/>
    <mergeCell ref="B65:R65"/>
    <mergeCell ref="B80:O80"/>
    <mergeCell ref="E81:F81"/>
    <mergeCell ref="H81:I81"/>
    <mergeCell ref="J81:K81"/>
    <mergeCell ref="N81:O81"/>
    <mergeCell ref="E53:F53"/>
    <mergeCell ref="H53:I53"/>
    <mergeCell ref="J53:K53"/>
    <mergeCell ref="M53:M54"/>
    <mergeCell ref="N53:O54"/>
    <mergeCell ref="E54:F54"/>
    <mergeCell ref="H54:I54"/>
    <mergeCell ref="J54:K54"/>
    <mergeCell ref="B36:R36"/>
    <mergeCell ref="B51:O51"/>
    <mergeCell ref="E52:F52"/>
    <mergeCell ref="H52:I52"/>
    <mergeCell ref="J52:K52"/>
    <mergeCell ref="N52:O52"/>
    <mergeCell ref="E24:F24"/>
    <mergeCell ref="H24:I24"/>
    <mergeCell ref="J24:K24"/>
    <mergeCell ref="M24:M25"/>
    <mergeCell ref="N24:O25"/>
    <mergeCell ref="E25:F25"/>
    <mergeCell ref="H25:I25"/>
    <mergeCell ref="J25:K25"/>
    <mergeCell ref="A1:D1"/>
    <mergeCell ref="A2:D2"/>
    <mergeCell ref="A3:C3"/>
    <mergeCell ref="B22:O22"/>
    <mergeCell ref="E23:F23"/>
    <mergeCell ref="H23:I23"/>
    <mergeCell ref="J23:K23"/>
    <mergeCell ref="N23:O23"/>
    <mergeCell ref="B7:S7"/>
  </mergeCells>
  <hyperlinks>
    <hyperlink ref="E28" location="ASIENTO_FAC_COMPRA_1" display="ASIENTO DIARIO" xr:uid="{2B864AA1-EE7B-4678-B3C7-B3AFDFA95942}"/>
    <hyperlink ref="E57" location="ASIENTO_FAC_COMPRA_2" display="ASIENTO DIARIO" xr:uid="{E26AD5FC-B41F-4C6A-AF5B-5458C182B764}"/>
    <hyperlink ref="E86" location="ASIENTO_FAC_COMPRA_3" display="ASIENTO DIARIO" xr:uid="{392EC252-DEA5-4F8D-BB39-85F6A10C5418}"/>
    <hyperlink ref="E115" location="ASIENTO_FAC_COMPRA_4" display="ASIENTO DIARIO" xr:uid="{ACC9C3C2-40A7-4AD6-9C95-DC5F32FAFAB1}"/>
    <hyperlink ref="E143" location="ASIENTO_FAC_COMPRA_5" display="ASIENTO DIARIO" xr:uid="{D4BFFE9C-0488-4713-8703-E8C979224088}"/>
    <hyperlink ref="E176" location="ASIENTO_FAC_COMPRA_6" display="ASIENTO DIARIO" xr:uid="{6605551F-B402-4D0A-94B2-081B6DA4F571}"/>
    <hyperlink ref="E204" location="ASIENTO_FAC_COMPRA_7" display="ASIENTO DIARIO" xr:uid="{84F77565-D9D9-4810-9F65-8A01490F17AE}"/>
    <hyperlink ref="E227" location="ASIENTO_FAC_COMPRA_8" display="ASIENTO DIARIO" xr:uid="{5AC1AEDF-D6EF-43A2-8D94-FFCBE70A3CC3}"/>
    <hyperlink ref="E250" location="ASIENTO_FAC_COMPRA_9" display="ASIENTO DIARIO" xr:uid="{AABB7EEA-DD79-4F4F-AC7E-7DB0C1332A29}"/>
    <hyperlink ref="E273" location="ASIENTO_FAC_COMPRA_10" display="ASIENTO DIARIO" xr:uid="{2755F86D-AF48-4CC1-B972-5B7B853FB9D7}"/>
    <hyperlink ref="E295" location="ASIENTO_FAC_COMPRA_11" display="ASIENTO DIARIO" xr:uid="{CB0EA44B-ED4B-42BA-B5FA-B1E5E2059435}"/>
    <hyperlink ref="E326" location="ASIENTO_FAC_COMPRA_12" display="ASIENTO DIARIO" xr:uid="{A90256C3-BAC2-4474-9937-0E181DB74174}"/>
    <hyperlink ref="E354" location="ASIENTO_FAC_COMPRA_13" display="ASIENTO DIARIO" xr:uid="{C9569146-8DB3-47FF-8CFB-3868C5581AAD}"/>
    <hyperlink ref="E381" location="ASIENTO_FAC_COMPRA_14" display="ASIENTO DIARIO" xr:uid="{495D7FE9-9D61-4906-878D-A025065BF5A0}"/>
    <hyperlink ref="E411" location="ASIENTO_FAC_COMPRA_15" display="ASIENTO DIARIO" xr:uid="{BB0BB3FB-DEFC-484E-A5B6-38CFB7DE330F}"/>
    <hyperlink ref="E439" location="ASIENTO_FAC_COMPRA_16" display="ASIENTO DIARIO" xr:uid="{8BC4E4AF-03BD-4E4A-8EB1-AF9962D0B653}"/>
    <hyperlink ref="E466" location="ASIENTO_FAC_COMPRA_17" display="ASIENTO DIARIO" xr:uid="{1EFD26AE-195B-4735-BC6D-4BB7B86A6E4C}"/>
    <hyperlink ref="E499" location="ASIENTO_FAC_COMPRA_18" display="ASIENTO DIARIO" xr:uid="{13B8CC85-63D5-4563-B371-B1A06BE10912}"/>
    <hyperlink ref="E526" location="ASIENTO_FAC_COMPRA_19" display="ASIENTO DIARIO" xr:uid="{6526A219-FCC1-4EBE-85B8-F3AE8D0598FF}"/>
    <hyperlink ref="E550" location="ASIENTO_FAC_COMPRA_20" display="ASIENTO DIARIO" xr:uid="{AAB160AC-FB4D-4B00-8F6A-7FEE3F38D146}"/>
    <hyperlink ref="E572" location="ASIENTO_FAC_COMPRA_21" display="ASIENTO DIARIO" xr:uid="{4A9A308B-85B5-4377-BF19-C599F1AF0B49}"/>
    <hyperlink ref="E596" location="ASIENTO_FAC_COMPRA_22" display="ASIENTO DIARIO" xr:uid="{3EE48D65-F769-4E7D-82D5-C12D07A19554}"/>
    <hyperlink ref="E619" location="ASIENTO_FAC_COMPRA_23" display="ASIENTO DIARIO" xr:uid="{2E64687E-18C3-497E-904D-1A99F74E0FED}"/>
    <hyperlink ref="E650" location="ASIENTO_FAC_COMPRA_24" display="ASIENTO DIARIO" xr:uid="{516DF345-235F-4868-8A94-192E1E369DF3}"/>
    <hyperlink ref="E677" location="ASIENTO_FAC_COMPRA_25" display="ASIENTO DIARIO" xr:uid="{FC63022A-BD03-40ED-9AC5-26949D6535A9}"/>
    <hyperlink ref="E705" location="ASIENTO_FAC_COMPRA_26" display="ASIENTO DIARIO" xr:uid="{EED4236A-14F9-4F09-BA7B-5067DCAB17F4}"/>
    <hyperlink ref="E733" location="ASIENTO_FAC_COMPRA_27" display="ASIENTO DIARIO" xr:uid="{C9BE9161-0ABA-4714-A475-116349DE8953}"/>
    <hyperlink ref="E762" location="ASIENTO_FAC_COMPRA_28" display="ASIENTO DIARIO" xr:uid="{2A492F51-3138-4782-A416-989AD9762B04}"/>
    <hyperlink ref="E789" location="ASIENTO_FAC_COMPRA_29" display="ASIENTO DIARIO" xr:uid="{CCD079FF-F7E4-4DCF-A286-F9015F8BE433}"/>
    <hyperlink ref="E823" location="ASIENTO_FAC_COMPRA_30" display="ASIENTO DIARIO" xr:uid="{327A3BDE-B991-4FAE-862F-8620E192C85D}"/>
    <hyperlink ref="E850" location="ASIENTO_FAC_COMPRA_31" display="ASIENTO DIARIO" xr:uid="{8A68F8F6-FE20-46EE-B8E8-400F1BB40246}"/>
    <hyperlink ref="E873" location="ASIENTO_FAC_COMPRA_32" display="ASIENTO DIARIO" xr:uid="{B3B063FB-5C31-4FFD-903A-9717FBA64B3C}"/>
    <hyperlink ref="E896" location="ASIENTO_FAC_COMPRA_33" display="ASIENTO DIARIO" xr:uid="{9D06A3E3-D9A6-4A41-A206-601E027EEC2F}"/>
    <hyperlink ref="E919" location="ASIENTO_FAC_COMPRA_34" display="ASIENTO DIARIO" xr:uid="{E215FC75-71B0-4F18-AD46-0DD04FFB6C2D}"/>
    <hyperlink ref="E942" location="ASIENTO_FAC_COMPRA_35" display="ASIENTO DIARIO" xr:uid="{FE74BE2F-97F0-4477-A54C-15510564409B}"/>
    <hyperlink ref="E969" location="ASIENTO_FAC_COMPRA_36" display="ASIENTO DIARIO" xr:uid="{B8BA765E-FAFF-44DB-BD83-0B891FA14A90}"/>
    <hyperlink ref="E1000" location="ASIENTO_FAC_COMPRA_37" display="ASIENTO DIARIO" xr:uid="{2CF2DC39-C665-436B-9DEB-266677B8520E}"/>
    <hyperlink ref="E1029" location="ASIENTO_FAC_COMPRA_38" display="ASIENTO DIARIO" xr:uid="{5FD7372E-96FD-42B0-9D08-5160818D63AC}"/>
    <hyperlink ref="E1057" location="ASIENTO_FAC_COMPRA_39" display="ASIENTO DIARIO" xr:uid="{F636849F-69FE-4682-8426-BD5967C05963}"/>
    <hyperlink ref="E1087" location="ASIENTO_FAC_COMPRA_40" display="ASIENTO DIARIO" xr:uid="{2531526F-A18E-4BD4-9BCE-D52D5B2FEB90}"/>
    <hyperlink ref="E1115" location="ASIENTO_FAC_COMPRA_41" display="ASIENTO DIARIO" xr:uid="{BDAB06DE-AF39-4BAA-B0D4-DCB5DDE655A3}"/>
    <hyperlink ref="E1150" location="ASIENTO_FAC_COMPRA_42" display="ASIENTO DIARIO" xr:uid="{385E190D-25FD-499A-ACF4-F5837EB430C0}"/>
    <hyperlink ref="E1179" location="ASIENTO_FAC_COMPRA_25" display="ASIENTO DIARIO" xr:uid="{F86FD374-071A-4376-8400-44437AAE3EF3}"/>
    <hyperlink ref="E1203" location="ASIENTO_FAC_COMPRA_25" display="ASIENTO DIARIO" xr:uid="{006326C5-7054-4953-95B2-5E4DA77873B1}"/>
    <hyperlink ref="E1226" location="ASIENTO_FAC_COMPRA_27" display="ASIENTO DIARIO" xr:uid="{8E7EFFBA-95A3-43FE-8785-39DA9F98E9FD}"/>
    <hyperlink ref="E1249" location="ASIENTO_FAC_COMPRA_28" display="ASIENTO DIARIO" xr:uid="{8E1E1EB5-2498-412D-AF58-19A01245562B}"/>
    <hyperlink ref="E1274" location="ASIENTO_FAC_COMPRA_29" display="ASIENTO DIARIO" xr:uid="{6E382F77-9756-47AE-9FF9-A3246288EF7D}"/>
    <hyperlink ref="E1307" location="ASIENTO_FAC_COMPRA_30" display="ASIENTO DIARIO" xr:uid="{533D6F5E-18FE-4922-97C2-E7ED4A9F31BD}"/>
    <hyperlink ref="E29" location="KARDEX_FAC_COMP_1" display="KARDEX" xr:uid="{25A8C439-0BB3-4FDB-8745-9771B6664662}"/>
    <hyperlink ref="E58" location="KARDEX_FAC_COMP_2" display="KARDEX" xr:uid="{13DB1695-87AD-42A8-AA78-EB103800F661}"/>
    <hyperlink ref="E87" location="KARDEX_FAC_COMP_3" display="KARDEX" xr:uid="{38667F5D-CC0C-4EA3-B0BB-C0E521D86EF2}"/>
    <hyperlink ref="E116" location="KARDEX_FAC_COMP_4" display="KARDEX" xr:uid="{88F10271-9187-4728-9865-755907186FED}"/>
    <hyperlink ref="E144" location="KARDEX_FAC_COMP_5" display="KARDEX" xr:uid="{96E3145E-0526-44A7-A820-E8B0F6897E3B}"/>
    <hyperlink ref="E177" location="KARDEX_FAC_COMP_6" display="KARDEX" xr:uid="{901EFEDF-D6C7-4ADA-A49D-D3BD64707608}"/>
    <hyperlink ref="E205" location="KARDEX_FAC_COMP_7" display="KARDEX" xr:uid="{94F120A5-8000-4049-ADA9-BDBCBE1293AF}"/>
    <hyperlink ref="E228" location="KARDEX_FAC_COMP_8" display="KARDEX" xr:uid="{29CC0347-A6B1-4A3E-A945-BC664259144A}"/>
    <hyperlink ref="E251" location="KARDEX_FAC_COMP_9" display="KARDEX" xr:uid="{AA72A465-D754-4897-974F-607C7DAB8D03}"/>
    <hyperlink ref="E274" location="KARDEX_FAC_COMP_10" display="KARDEX" xr:uid="{E39D7BF7-6316-4DD2-80E4-6254D06126FC}"/>
    <hyperlink ref="E296" location="KARDEX_FAC_COMP_11" display="KARDEX" xr:uid="{D1809BCF-3D1F-444D-B08C-5FD0E5D1A3A5}"/>
    <hyperlink ref="E327" location="KARDEX_FAC_COMP_12" display="KARDEX" xr:uid="{B70F2BE3-9B53-4AA9-B557-DFE14E4D084E}"/>
    <hyperlink ref="E678" location="KARDEX_FAC_COMP_25" display="KARDEX" xr:uid="{9D512D36-563A-434D-9146-033E27532E11}"/>
    <hyperlink ref="E706" location="KARDEX_FAC_COMP_26" display="KARDEX" xr:uid="{BC313C74-EDE2-46DB-B221-FD20D443D85A}"/>
    <hyperlink ref="E734" location="KARDEX_FAC_COMP_27" display="KARDEX" xr:uid="{CDCE97A7-CB3A-45E9-B273-2F1CA974F32D}"/>
    <hyperlink ref="E763" location="KARDEX_FAC_COMP_28" display="KARDEX" xr:uid="{CA5736FA-C7C9-4D1D-B819-1F2AFAA7386C}"/>
    <hyperlink ref="E790" location="KARDEX_FAC_COMP_29" display="KARDEX" xr:uid="{0AAFBC67-A109-4AE6-8F08-C0B5D4BCB40E}"/>
    <hyperlink ref="E824" location="KARDEX_FAC_COMP_30" display="KARDEX" xr:uid="{5B807CED-A6CA-4C8F-BB33-BADC191367DC}"/>
    <hyperlink ref="E851" location="KARDEX_FAC_COMP_31" display="KARDEX" xr:uid="{C1ED4192-1AA0-446F-A367-07830BC4347B}"/>
    <hyperlink ref="E874" location="KARDEX_FAC_COMP_32" display="KARDEX" xr:uid="{4FF094D9-D5B0-4D98-9FE8-AC49E39C8DE2}"/>
    <hyperlink ref="E897" location="KARDEX_FAC_COMP_33" display="KARDEX" xr:uid="{01CB84ED-ED0D-4F8A-96FC-08593C8643FC}"/>
    <hyperlink ref="E920" location="KARDEX_FAC_COMP_34" display="KARDEX" xr:uid="{BFB7004A-B213-4287-84C4-4566C554168A}"/>
    <hyperlink ref="E943" location="KARDEX_FAC_COMP_35" display="KARDEX" xr:uid="{09A2607A-9673-4180-9F46-2DE364132A7A}"/>
    <hyperlink ref="E970" location="KARDEX_FAC_COMP_36" display="KARDEX" xr:uid="{4075074C-F957-4F18-B827-1C9D8DF7A89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D246-4EFF-4020-8F7E-184D437483FF}">
  <dimension ref="A1:K284"/>
  <sheetViews>
    <sheetView topLeftCell="A269" workbookViewId="0">
      <selection activeCell="D298" sqref="D298"/>
    </sheetView>
  </sheetViews>
  <sheetFormatPr baseColWidth="10" defaultRowHeight="15" x14ac:dyDescent="0.25"/>
  <cols>
    <col min="3" max="3" width="27" bestFit="1" customWidth="1"/>
    <col min="4" max="4" width="30.140625" bestFit="1" customWidth="1"/>
    <col min="5" max="5" width="18.140625" bestFit="1" customWidth="1"/>
    <col min="6" max="7" width="13" bestFit="1" customWidth="1"/>
    <col min="9" max="9" width="12.85546875" bestFit="1" customWidth="1"/>
  </cols>
  <sheetData>
    <row r="1" spans="1:10" x14ac:dyDescent="0.25">
      <c r="A1" s="55" t="s">
        <v>183</v>
      </c>
      <c r="B1" s="55" t="s">
        <v>184</v>
      </c>
      <c r="C1" s="56" t="s">
        <v>185</v>
      </c>
      <c r="D1" s="55" t="s">
        <v>186</v>
      </c>
      <c r="E1" s="55" t="s">
        <v>187</v>
      </c>
      <c r="F1" s="55" t="s">
        <v>188</v>
      </c>
      <c r="G1" s="55" t="s">
        <v>189</v>
      </c>
      <c r="H1" s="55" t="s">
        <v>190</v>
      </c>
      <c r="I1" s="55" t="s">
        <v>191</v>
      </c>
    </row>
    <row r="2" spans="1:10" x14ac:dyDescent="0.25">
      <c r="A2" s="166">
        <v>1</v>
      </c>
      <c r="B2" s="167">
        <v>43497</v>
      </c>
      <c r="C2" s="169" t="s">
        <v>192</v>
      </c>
      <c r="D2" s="57" t="s">
        <v>195</v>
      </c>
      <c r="E2" s="57" t="s">
        <v>196</v>
      </c>
      <c r="F2" s="58">
        <v>1200</v>
      </c>
      <c r="G2" s="58" t="s">
        <v>193</v>
      </c>
      <c r="H2" s="171">
        <v>41669.975808696749</v>
      </c>
      <c r="I2" s="171">
        <v>41669.975808696749</v>
      </c>
    </row>
    <row r="3" spans="1:10" x14ac:dyDescent="0.25">
      <c r="A3" s="166"/>
      <c r="B3" s="168"/>
      <c r="C3" s="170"/>
      <c r="D3" s="57" t="s">
        <v>69</v>
      </c>
      <c r="E3" s="57" t="s">
        <v>46</v>
      </c>
      <c r="F3" s="58">
        <v>26769.975808696745</v>
      </c>
      <c r="G3" s="58"/>
      <c r="H3" s="172"/>
      <c r="I3" s="172"/>
    </row>
    <row r="4" spans="1:10" x14ac:dyDescent="0.25">
      <c r="A4" s="166"/>
      <c r="B4" s="168"/>
      <c r="C4" s="170"/>
      <c r="D4" s="57" t="s">
        <v>197</v>
      </c>
      <c r="E4" s="57" t="s">
        <v>198</v>
      </c>
      <c r="F4" s="58">
        <v>12500</v>
      </c>
      <c r="G4" s="58" t="s">
        <v>193</v>
      </c>
      <c r="H4" s="172"/>
      <c r="I4" s="172"/>
    </row>
    <row r="5" spans="1:10" x14ac:dyDescent="0.25">
      <c r="A5" s="166"/>
      <c r="B5" s="168"/>
      <c r="C5" s="170"/>
      <c r="D5" s="57" t="s">
        <v>199</v>
      </c>
      <c r="E5" s="57" t="s">
        <v>200</v>
      </c>
      <c r="F5" s="58">
        <v>1200</v>
      </c>
      <c r="G5" s="58" t="s">
        <v>193</v>
      </c>
      <c r="H5" s="172"/>
      <c r="I5" s="172"/>
    </row>
    <row r="6" spans="1:10" x14ac:dyDescent="0.25">
      <c r="A6" s="166"/>
      <c r="B6" s="168"/>
      <c r="C6" s="170"/>
      <c r="D6" s="57" t="s">
        <v>201</v>
      </c>
      <c r="E6" s="57" t="s">
        <v>202</v>
      </c>
      <c r="F6" s="58" t="s">
        <v>193</v>
      </c>
      <c r="G6" s="58">
        <v>400</v>
      </c>
      <c r="H6" s="172"/>
      <c r="I6" s="172"/>
    </row>
    <row r="7" spans="1:10" x14ac:dyDescent="0.25">
      <c r="A7" s="166"/>
      <c r="B7" s="168"/>
      <c r="C7" s="170"/>
      <c r="D7" s="57" t="s">
        <v>203</v>
      </c>
      <c r="E7" s="57" t="s">
        <v>204</v>
      </c>
      <c r="F7" s="58" t="s">
        <v>193</v>
      </c>
      <c r="G7" s="58">
        <v>3000</v>
      </c>
      <c r="H7" s="172"/>
      <c r="I7" s="172"/>
    </row>
    <row r="8" spans="1:10" ht="15.75" thickBot="1" x14ac:dyDescent="0.3">
      <c r="A8" s="166"/>
      <c r="B8" s="168"/>
      <c r="C8" s="170"/>
      <c r="D8" s="57" t="s">
        <v>205</v>
      </c>
      <c r="E8" s="57" t="s">
        <v>206</v>
      </c>
      <c r="F8" s="58" t="s">
        <v>193</v>
      </c>
      <c r="G8" s="58">
        <v>38269.975808696749</v>
      </c>
      <c r="H8" s="172"/>
      <c r="I8" s="172"/>
    </row>
    <row r="9" spans="1:10" x14ac:dyDescent="0.25">
      <c r="A9" s="141">
        <v>2</v>
      </c>
      <c r="B9" s="143">
        <f>+[1]COMPRAS!B16</f>
        <v>43497</v>
      </c>
      <c r="C9" s="146" t="str">
        <f>+[1]COMPRAS!B6</f>
        <v>FACTURA COMPRA # 1</v>
      </c>
      <c r="D9" s="63" t="s">
        <v>69</v>
      </c>
      <c r="E9" s="63" t="s">
        <v>46</v>
      </c>
      <c r="F9" s="64">
        <f>+COMPRAS!E16+COMPRAS!E15-COMPRAS!E17</f>
        <v>424.4316</v>
      </c>
      <c r="G9" s="64"/>
      <c r="H9" s="147">
        <f>+SUM(F9:F13)</f>
        <v>475.36339199999998</v>
      </c>
      <c r="I9" s="149">
        <f>+SUM(G9:G13)</f>
        <v>475.36339199999992</v>
      </c>
      <c r="J9" s="151" t="s">
        <v>278</v>
      </c>
    </row>
    <row r="10" spans="1:10" x14ac:dyDescent="0.25">
      <c r="A10" s="142"/>
      <c r="B10" s="145"/>
      <c r="C10" s="145"/>
      <c r="D10" s="59" t="s">
        <v>194</v>
      </c>
      <c r="E10" s="59" t="s">
        <v>56</v>
      </c>
      <c r="F10" s="60">
        <f>+COMPRAS!E18</f>
        <v>50.931791999999994</v>
      </c>
      <c r="G10" s="60"/>
      <c r="H10" s="148"/>
      <c r="I10" s="150"/>
      <c r="J10" s="151"/>
    </row>
    <row r="11" spans="1:10" x14ac:dyDescent="0.25">
      <c r="A11" s="142"/>
      <c r="B11" s="145"/>
      <c r="C11" s="145"/>
      <c r="D11" s="59" t="str">
        <f>+COMPRAS!E24</f>
        <v>Retencion IVA por pagar 100%</v>
      </c>
      <c r="E11" s="59" t="str">
        <f>+COMPRAS!D24</f>
        <v>2.1.01.07.006</v>
      </c>
      <c r="F11" s="60"/>
      <c r="G11" s="60">
        <f>+COMPRAS!L24</f>
        <v>50.931791999999994</v>
      </c>
      <c r="H11" s="148"/>
      <c r="I11" s="150"/>
      <c r="J11" s="151"/>
    </row>
    <row r="12" spans="1:10" x14ac:dyDescent="0.25">
      <c r="A12" s="142"/>
      <c r="B12" s="145"/>
      <c r="C12" s="145"/>
      <c r="D12" s="59" t="str">
        <f>+COMPRAS!E25</f>
        <v>Impuesto a la renta por pagar 1%</v>
      </c>
      <c r="E12" s="59" t="str">
        <f>+COMPRAS!D25</f>
        <v>2.1.01.06.001</v>
      </c>
      <c r="F12" s="60"/>
      <c r="G12" s="60">
        <f>+COMPRAS!L25</f>
        <v>4.2443160000000004</v>
      </c>
      <c r="H12" s="148"/>
      <c r="I12" s="150"/>
      <c r="J12" s="151"/>
    </row>
    <row r="13" spans="1:10" ht="15.75" thickBot="1" x14ac:dyDescent="0.3">
      <c r="A13" s="162"/>
      <c r="B13" s="163"/>
      <c r="C13" s="163"/>
      <c r="D13" s="67" t="s">
        <v>85</v>
      </c>
      <c r="E13" s="67"/>
      <c r="F13" s="68"/>
      <c r="G13" s="68">
        <f>+COMPRAS!N24</f>
        <v>420.18728399999992</v>
      </c>
      <c r="H13" s="164"/>
      <c r="I13" s="165"/>
      <c r="J13" s="151"/>
    </row>
    <row r="14" spans="1:10" x14ac:dyDescent="0.25">
      <c r="A14" s="141">
        <v>3</v>
      </c>
      <c r="B14" s="143">
        <f>+COMPRAS!C44</f>
        <v>43497</v>
      </c>
      <c r="C14" s="146" t="str">
        <f>+COMPRAS!C34</f>
        <v>FACTURA COMPRA # 2</v>
      </c>
      <c r="D14" s="63" t="s">
        <v>69</v>
      </c>
      <c r="E14" s="63" t="s">
        <v>46</v>
      </c>
      <c r="F14" s="64">
        <f>+COMPRAS!E44+COMPRAS!E43-COMPRAS!E45</f>
        <v>424.4316</v>
      </c>
      <c r="G14" s="64"/>
      <c r="H14" s="147">
        <f>+SUM(F14:F18)</f>
        <v>475.36339199999998</v>
      </c>
      <c r="I14" s="149">
        <f>+SUM(G14:G18)</f>
        <v>475.36339199999992</v>
      </c>
      <c r="J14" s="151" t="s">
        <v>278</v>
      </c>
    </row>
    <row r="15" spans="1:10" x14ac:dyDescent="0.25">
      <c r="A15" s="142"/>
      <c r="B15" s="145"/>
      <c r="C15" s="145"/>
      <c r="D15" s="59" t="s">
        <v>194</v>
      </c>
      <c r="E15" s="59" t="s">
        <v>56</v>
      </c>
      <c r="F15" s="60">
        <f>+COMPRAS!E46</f>
        <v>50.931791999999994</v>
      </c>
      <c r="G15" s="60"/>
      <c r="H15" s="148"/>
      <c r="I15" s="150"/>
      <c r="J15" s="151"/>
    </row>
    <row r="16" spans="1:10" x14ac:dyDescent="0.25">
      <c r="A16" s="142"/>
      <c r="B16" s="145"/>
      <c r="C16" s="145"/>
      <c r="D16" s="59" t="str">
        <f>+COMPRAS!E52</f>
        <v>Retencion IVA por pagar 30%</v>
      </c>
      <c r="E16" s="59" t="str">
        <f>+COMPRAS!D52</f>
        <v>2.1.01.07.003</v>
      </c>
      <c r="F16" s="60"/>
      <c r="G16" s="60">
        <f>+COMPRAS!L52</f>
        <v>15.279537599999998</v>
      </c>
      <c r="H16" s="148"/>
      <c r="I16" s="150"/>
      <c r="J16" s="151"/>
    </row>
    <row r="17" spans="1:10" x14ac:dyDescent="0.25">
      <c r="A17" s="142"/>
      <c r="B17" s="145"/>
      <c r="C17" s="145"/>
      <c r="D17" s="59" t="str">
        <f>+COMPRAS!E53</f>
        <v>Impuesto a la renta por pagar 8%</v>
      </c>
      <c r="E17" s="59" t="str">
        <f>+COMPRAS!D53</f>
        <v>2.1.01.06.003</v>
      </c>
      <c r="F17" s="60"/>
      <c r="G17" s="60">
        <f>+COMPRAS!L53</f>
        <v>33.954528000000003</v>
      </c>
      <c r="H17" s="148"/>
      <c r="I17" s="150"/>
      <c r="J17" s="151"/>
    </row>
    <row r="18" spans="1:10" x14ac:dyDescent="0.25">
      <c r="A18" s="142"/>
      <c r="B18" s="145"/>
      <c r="C18" s="145"/>
      <c r="D18" s="59" t="s">
        <v>85</v>
      </c>
      <c r="E18" s="59"/>
      <c r="F18" s="60"/>
      <c r="G18" s="60">
        <f>+COMPRAS!N52</f>
        <v>426.12932639999991</v>
      </c>
      <c r="H18" s="148"/>
      <c r="I18" s="150"/>
      <c r="J18" s="151"/>
    </row>
    <row r="19" spans="1:10" x14ac:dyDescent="0.25">
      <c r="A19" s="152">
        <v>4</v>
      </c>
      <c r="B19" s="154">
        <f>+B14</f>
        <v>43497</v>
      </c>
      <c r="C19" s="156" t="str">
        <f>+C14</f>
        <v>FACTURA COMPRA # 2</v>
      </c>
      <c r="D19" s="61" t="s">
        <v>85</v>
      </c>
      <c r="E19" s="61"/>
      <c r="F19" s="62">
        <f>+G18</f>
        <v>426.12932639999991</v>
      </c>
      <c r="G19" s="62"/>
      <c r="H19" s="158">
        <f>+SUM(F19:F20)</f>
        <v>426.12932639999991</v>
      </c>
      <c r="I19" s="160">
        <f>+SUM(G19:G20)</f>
        <v>426.12932639999991</v>
      </c>
      <c r="J19" s="151"/>
    </row>
    <row r="20" spans="1:10" ht="15.75" thickBot="1" x14ac:dyDescent="0.3">
      <c r="A20" s="153"/>
      <c r="B20" s="155"/>
      <c r="C20" s="157"/>
      <c r="D20" s="65" t="str">
        <f>+COMPRAS!C58</f>
        <v>Caja General</v>
      </c>
      <c r="E20" s="65"/>
      <c r="F20" s="66"/>
      <c r="G20" s="66">
        <f>+COMPRAS!C59</f>
        <v>426.12932639999991</v>
      </c>
      <c r="H20" s="159"/>
      <c r="I20" s="161"/>
      <c r="J20" s="151"/>
    </row>
    <row r="21" spans="1:10" x14ac:dyDescent="0.25">
      <c r="A21" s="141">
        <v>5</v>
      </c>
      <c r="B21" s="143">
        <f>+COMPRAS!C72</f>
        <v>43497</v>
      </c>
      <c r="C21" s="146" t="str">
        <f>+COMPRAS!C62</f>
        <v>FACTURA COMPRA # 3</v>
      </c>
      <c r="D21" s="63" t="s">
        <v>69</v>
      </c>
      <c r="E21" s="63" t="s">
        <v>46</v>
      </c>
      <c r="F21" s="64">
        <f>+COMPRAS!E72+COMPRAS!E71-COMPRAS!E73</f>
        <v>424.4316</v>
      </c>
      <c r="G21" s="64"/>
      <c r="H21" s="147">
        <f>+SUM(F21:F25)</f>
        <v>475.36339199999998</v>
      </c>
      <c r="I21" s="149">
        <f>+SUM(G21:G25)</f>
        <v>475.36339199999992</v>
      </c>
      <c r="J21" s="151" t="s">
        <v>278</v>
      </c>
    </row>
    <row r="22" spans="1:10" x14ac:dyDescent="0.25">
      <c r="A22" s="142"/>
      <c r="B22" s="145"/>
      <c r="C22" s="145"/>
      <c r="D22" s="59" t="s">
        <v>194</v>
      </c>
      <c r="E22" s="59" t="s">
        <v>56</v>
      </c>
      <c r="F22" s="60">
        <f>+COMPRAS!E74</f>
        <v>50.931791999999994</v>
      </c>
      <c r="G22" s="60"/>
      <c r="H22" s="148"/>
      <c r="I22" s="150"/>
      <c r="J22" s="151"/>
    </row>
    <row r="23" spans="1:10" x14ac:dyDescent="0.25">
      <c r="A23" s="142"/>
      <c r="B23" s="145"/>
      <c r="C23" s="145"/>
      <c r="D23" s="59" t="str">
        <f>+COMPRAS!E80</f>
        <v>Retencion IVA por pagar 50%</v>
      </c>
      <c r="E23" s="59" t="str">
        <f>+COMPRAS!D80</f>
        <v>2.1.01.07.004</v>
      </c>
      <c r="F23" s="60"/>
      <c r="G23" s="60">
        <f>+COMPRAS!L80</f>
        <v>25.465895999999997</v>
      </c>
      <c r="H23" s="148"/>
      <c r="I23" s="150"/>
      <c r="J23" s="151"/>
    </row>
    <row r="24" spans="1:10" x14ac:dyDescent="0.25">
      <c r="A24" s="142"/>
      <c r="B24" s="145"/>
      <c r="C24" s="145"/>
      <c r="D24" s="59" t="str">
        <f>+COMPRAS!E81</f>
        <v>Impuesto a la renta por pagar 2%</v>
      </c>
      <c r="E24" s="59" t="str">
        <f>+COMPRAS!D81</f>
        <v>2.1.01.06.002</v>
      </c>
      <c r="F24" s="60"/>
      <c r="G24" s="60">
        <f>+COMPRAS!L81</f>
        <v>8.4886320000000008</v>
      </c>
      <c r="H24" s="148"/>
      <c r="I24" s="150"/>
      <c r="J24" s="151"/>
    </row>
    <row r="25" spans="1:10" x14ac:dyDescent="0.25">
      <c r="A25" s="142"/>
      <c r="B25" s="145"/>
      <c r="C25" s="145"/>
      <c r="D25" s="59" t="s">
        <v>85</v>
      </c>
      <c r="E25" s="59" t="s">
        <v>334</v>
      </c>
      <c r="F25" s="60"/>
      <c r="G25" s="60">
        <f>+COMPRAS!N80</f>
        <v>441.40886399999994</v>
      </c>
      <c r="H25" s="148"/>
      <c r="I25" s="150"/>
      <c r="J25" s="151"/>
    </row>
    <row r="26" spans="1:10" x14ac:dyDescent="0.25">
      <c r="A26" s="152">
        <v>6</v>
      </c>
      <c r="B26" s="154">
        <f>+B21</f>
        <v>43497</v>
      </c>
      <c r="C26" s="156" t="str">
        <f>+C21</f>
        <v>FACTURA COMPRA # 3</v>
      </c>
      <c r="D26" s="61" t="s">
        <v>85</v>
      </c>
      <c r="E26" s="61" t="s">
        <v>334</v>
      </c>
      <c r="F26" s="62">
        <f>+G25</f>
        <v>441.40886399999994</v>
      </c>
      <c r="G26" s="62"/>
      <c r="H26" s="158">
        <f>+SUM(F26:F27)</f>
        <v>441.40886399999994</v>
      </c>
      <c r="I26" s="160">
        <f>+SUM(G26:G27)</f>
        <v>441.40886399999994</v>
      </c>
      <c r="J26" s="151"/>
    </row>
    <row r="27" spans="1:10" ht="15.75" thickBot="1" x14ac:dyDescent="0.3">
      <c r="A27" s="153"/>
      <c r="B27" s="155"/>
      <c r="C27" s="157"/>
      <c r="D27" s="69" t="s">
        <v>332</v>
      </c>
      <c r="E27" s="65" t="s">
        <v>333</v>
      </c>
      <c r="F27" s="66"/>
      <c r="G27" s="66">
        <f>+COMPRAS!C87</f>
        <v>441.40886399999994</v>
      </c>
      <c r="H27" s="159"/>
      <c r="I27" s="161"/>
      <c r="J27" s="151"/>
    </row>
    <row r="28" spans="1:10" x14ac:dyDescent="0.25">
      <c r="A28" s="141">
        <v>7</v>
      </c>
      <c r="B28" s="143">
        <f>+COMPRAS!C100</f>
        <v>43498</v>
      </c>
      <c r="C28" s="146" t="str">
        <f>+COMPRAS!C90</f>
        <v>FACTURA COMPRA # 4</v>
      </c>
      <c r="D28" s="63" t="s">
        <v>69</v>
      </c>
      <c r="E28" s="63" t="s">
        <v>46</v>
      </c>
      <c r="F28" s="64">
        <f>+COMPRAS!E99+COMPRAS!E100-COMPRAS!E101</f>
        <v>1180.8087</v>
      </c>
      <c r="G28" s="64"/>
      <c r="H28" s="147">
        <f>+SUM(F28:F32)</f>
        <v>1322.505744</v>
      </c>
      <c r="I28" s="149">
        <f>+SUM(G28:G32)</f>
        <v>1322.505744</v>
      </c>
      <c r="J28" s="151" t="s">
        <v>278</v>
      </c>
    </row>
    <row r="29" spans="1:10" x14ac:dyDescent="0.25">
      <c r="A29" s="142"/>
      <c r="B29" s="145"/>
      <c r="C29" s="145"/>
      <c r="D29" s="59" t="s">
        <v>194</v>
      </c>
      <c r="E29" s="59" t="s">
        <v>56</v>
      </c>
      <c r="F29" s="60">
        <f>+COMPRAS!E102</f>
        <v>141.69704400000001</v>
      </c>
      <c r="G29" s="60"/>
      <c r="H29" s="148"/>
      <c r="I29" s="150"/>
      <c r="J29" s="151"/>
    </row>
    <row r="30" spans="1:10" x14ac:dyDescent="0.25">
      <c r="A30" s="142"/>
      <c r="B30" s="145"/>
      <c r="C30" s="145"/>
      <c r="D30" s="59" t="str">
        <f>+COMPRAS!E108</f>
        <v>Retencion IVA por pagar 70%</v>
      </c>
      <c r="E30" s="59" t="str">
        <f>+COMPRAS!D108</f>
        <v>2.1.01.07.005</v>
      </c>
      <c r="F30" s="60"/>
      <c r="G30" s="60">
        <f>+COMPRAS!L108</f>
        <v>99.187930800000004</v>
      </c>
      <c r="H30" s="148"/>
      <c r="I30" s="150"/>
      <c r="J30" s="151"/>
    </row>
    <row r="31" spans="1:10" x14ac:dyDescent="0.25">
      <c r="A31" s="142"/>
      <c r="B31" s="145"/>
      <c r="C31" s="145"/>
      <c r="D31" s="59" t="str">
        <f>+COMPRAS!E109</f>
        <v>Impuesto a la renta por pagar 1%</v>
      </c>
      <c r="E31" s="59" t="str">
        <f>+COMPRAS!D109</f>
        <v>2.1.01.06.001</v>
      </c>
      <c r="F31" s="60"/>
      <c r="G31" s="60">
        <f>+COMPRAS!L109</f>
        <v>11.808087</v>
      </c>
      <c r="H31" s="148"/>
      <c r="I31" s="150"/>
      <c r="J31" s="151"/>
    </row>
    <row r="32" spans="1:10" x14ac:dyDescent="0.25">
      <c r="A32" s="142"/>
      <c r="B32" s="145"/>
      <c r="C32" s="145"/>
      <c r="D32" s="59" t="s">
        <v>85</v>
      </c>
      <c r="E32" s="59"/>
      <c r="F32" s="60"/>
      <c r="G32" s="60">
        <f>+COMPRAS!N108</f>
        <v>1211.5097261999999</v>
      </c>
      <c r="H32" s="148"/>
      <c r="I32" s="150"/>
      <c r="J32" s="151"/>
    </row>
    <row r="33" spans="1:10" x14ac:dyDescent="0.25">
      <c r="A33" s="152">
        <v>8</v>
      </c>
      <c r="B33" s="154">
        <f>+B28</f>
        <v>43498</v>
      </c>
      <c r="C33" s="156" t="str">
        <f>+C28</f>
        <v>FACTURA COMPRA # 4</v>
      </c>
      <c r="D33" s="61" t="s">
        <v>85</v>
      </c>
      <c r="E33" s="61"/>
      <c r="F33" s="62">
        <f>+G32</f>
        <v>1211.5097261999999</v>
      </c>
      <c r="G33" s="62"/>
      <c r="H33" s="158">
        <f>+SUM(F33:F34)</f>
        <v>1211.5097261999999</v>
      </c>
      <c r="I33" s="160">
        <f>+SUM(G33:G34)</f>
        <v>1211.5097261999999</v>
      </c>
      <c r="J33" s="151"/>
    </row>
    <row r="34" spans="1:10" ht="15.75" thickBot="1" x14ac:dyDescent="0.3">
      <c r="A34" s="153"/>
      <c r="B34" s="155"/>
      <c r="C34" s="157"/>
      <c r="D34" s="69" t="str">
        <f>+COMPRAS!C114</f>
        <v>Bancos XXX XXXX</v>
      </c>
      <c r="E34" s="65"/>
      <c r="F34" s="66"/>
      <c r="G34" s="66">
        <f>+COMPRAS!C115</f>
        <v>1211.5097261999999</v>
      </c>
      <c r="H34" s="159"/>
      <c r="I34" s="161"/>
      <c r="J34" s="151"/>
    </row>
    <row r="35" spans="1:10" ht="15" customHeight="1" x14ac:dyDescent="0.25">
      <c r="A35" s="141">
        <v>9</v>
      </c>
      <c r="B35" s="143">
        <f>+COMPRAS!C128</f>
        <v>43498</v>
      </c>
      <c r="C35" s="146" t="str">
        <f>+COMPRAS!C118</f>
        <v>FACTURA COMPRA # 5</v>
      </c>
      <c r="D35" s="63" t="s">
        <v>69</v>
      </c>
      <c r="E35" s="63" t="s">
        <v>46</v>
      </c>
      <c r="F35" s="64">
        <f>+COMPRAS!E127+COMPRAS!E128-COMPRAS!E129</f>
        <v>1180.8087</v>
      </c>
      <c r="G35" s="64"/>
      <c r="H35" s="147">
        <f>+SUM(F35:F39)</f>
        <v>1322.505744</v>
      </c>
      <c r="I35" s="149">
        <f>+SUM(G35:G39)</f>
        <v>1322.5057439999998</v>
      </c>
      <c r="J35" s="151" t="s">
        <v>278</v>
      </c>
    </row>
    <row r="36" spans="1:10" x14ac:dyDescent="0.25">
      <c r="A36" s="142"/>
      <c r="B36" s="145"/>
      <c r="C36" s="145"/>
      <c r="D36" s="59" t="s">
        <v>194</v>
      </c>
      <c r="E36" s="59" t="s">
        <v>56</v>
      </c>
      <c r="F36" s="60">
        <f>+COMPRAS!E130</f>
        <v>141.69704400000001</v>
      </c>
      <c r="G36" s="60"/>
      <c r="H36" s="148"/>
      <c r="I36" s="150"/>
      <c r="J36" s="151"/>
    </row>
    <row r="37" spans="1:10" x14ac:dyDescent="0.25">
      <c r="A37" s="142"/>
      <c r="B37" s="145"/>
      <c r="C37" s="145"/>
      <c r="D37" s="59" t="str">
        <f>+COMPRAS!E136</f>
        <v>Retencion IVA por pagar 10%</v>
      </c>
      <c r="E37" s="59" t="str">
        <f>+COMPRAS!D136</f>
        <v>2.1.01.07.001</v>
      </c>
      <c r="F37" s="60"/>
      <c r="G37" s="60">
        <f>+COMPRAS!L136</f>
        <v>14.169704400000001</v>
      </c>
      <c r="H37" s="148"/>
      <c r="I37" s="150"/>
      <c r="J37" s="151"/>
    </row>
    <row r="38" spans="1:10" x14ac:dyDescent="0.25">
      <c r="A38" s="142"/>
      <c r="B38" s="145"/>
      <c r="C38" s="145"/>
      <c r="D38" s="59" t="str">
        <f>+COMPRAS!E137</f>
        <v>Impuesto a la renta por pagar 8%</v>
      </c>
      <c r="E38" s="59" t="str">
        <f>+COMPRAS!D137</f>
        <v>2.1.01.06.003</v>
      </c>
      <c r="F38" s="60"/>
      <c r="G38" s="60">
        <f>+COMPRAS!L137</f>
        <v>94.464696000000004</v>
      </c>
      <c r="H38" s="148"/>
      <c r="I38" s="150"/>
      <c r="J38" s="151"/>
    </row>
    <row r="39" spans="1:10" x14ac:dyDescent="0.25">
      <c r="A39" s="142"/>
      <c r="B39" s="145"/>
      <c r="C39" s="145"/>
      <c r="D39" s="59" t="s">
        <v>85</v>
      </c>
      <c r="E39" s="59"/>
      <c r="F39" s="60"/>
      <c r="G39" s="60">
        <f>+COMPRAS!N136</f>
        <v>1213.8713435999998</v>
      </c>
      <c r="H39" s="148"/>
      <c r="I39" s="150"/>
      <c r="J39" s="151"/>
    </row>
    <row r="40" spans="1:10" x14ac:dyDescent="0.25">
      <c r="A40" s="152">
        <v>10</v>
      </c>
      <c r="B40" s="154">
        <f>+B35</f>
        <v>43498</v>
      </c>
      <c r="C40" s="156" t="str">
        <f>+C35</f>
        <v>FACTURA COMPRA # 5</v>
      </c>
      <c r="D40" s="61" t="s">
        <v>85</v>
      </c>
      <c r="E40" s="61"/>
      <c r="F40" s="62">
        <f>+G39</f>
        <v>1213.8713435999998</v>
      </c>
      <c r="G40" s="62"/>
      <c r="H40" s="158">
        <f>+SUM(F40:F43)</f>
        <v>1213.8713435999998</v>
      </c>
      <c r="I40" s="160">
        <f>+SUM(G40:G43)</f>
        <v>1213.8713435999998</v>
      </c>
      <c r="J40" s="151"/>
    </row>
    <row r="41" spans="1:10" x14ac:dyDescent="0.25">
      <c r="A41" s="152"/>
      <c r="B41" s="154"/>
      <c r="C41" s="156"/>
      <c r="D41" s="70" t="str">
        <f>+COMPRAS!C142</f>
        <v>Bancos XXX XXXX</v>
      </c>
      <c r="E41" s="61"/>
      <c r="F41" s="62"/>
      <c r="G41" s="62">
        <f>+COMPRAS!C143</f>
        <v>364.16140307999996</v>
      </c>
      <c r="H41" s="158"/>
      <c r="I41" s="160"/>
      <c r="J41" s="151"/>
    </row>
    <row r="42" spans="1:10" x14ac:dyDescent="0.25">
      <c r="A42" s="152"/>
      <c r="B42" s="154"/>
      <c r="C42" s="156"/>
      <c r="D42" s="70" t="str">
        <f>+COMPRAS!C144</f>
        <v>Bancos XYZ XYZ</v>
      </c>
      <c r="E42" s="61"/>
      <c r="F42" s="62"/>
      <c r="G42" s="62">
        <f>+COMPRAS!C145</f>
        <v>364.16140307999996</v>
      </c>
      <c r="H42" s="158"/>
      <c r="I42" s="160"/>
      <c r="J42" s="151"/>
    </row>
    <row r="43" spans="1:10" ht="15.75" thickBot="1" x14ac:dyDescent="0.3">
      <c r="A43" s="153"/>
      <c r="B43" s="155"/>
      <c r="C43" s="157"/>
      <c r="D43" s="69" t="str">
        <f>+COMPRAS!C147</f>
        <v>Caja General</v>
      </c>
      <c r="E43" s="65"/>
      <c r="F43" s="66"/>
      <c r="G43" s="66">
        <f>+COMPRAS!C148</f>
        <v>485.54853743999996</v>
      </c>
      <c r="H43" s="159"/>
      <c r="I43" s="161"/>
      <c r="J43" s="151"/>
    </row>
    <row r="44" spans="1:10" x14ac:dyDescent="0.25">
      <c r="A44" s="141">
        <v>11</v>
      </c>
      <c r="B44" s="143">
        <f>+COMPRAS!C161</f>
        <v>43498</v>
      </c>
      <c r="C44" s="146" t="str">
        <f>+COMPRAS!C151</f>
        <v>FACTURA COMPRA # 6</v>
      </c>
      <c r="D44" s="63" t="s">
        <v>69</v>
      </c>
      <c r="E44" s="63" t="s">
        <v>46</v>
      </c>
      <c r="F44" s="64">
        <f>+COMPRAS!E160+COMPRAS!E161-COMPRAS!E162</f>
        <v>1180.8087</v>
      </c>
      <c r="G44" s="64"/>
      <c r="H44" s="147">
        <f>+SUM(F44:F48)</f>
        <v>1322.505744</v>
      </c>
      <c r="I44" s="149">
        <f>+SUM(G44:G48)</f>
        <v>1322.5057439999998</v>
      </c>
      <c r="J44" s="151" t="s">
        <v>278</v>
      </c>
    </row>
    <row r="45" spans="1:10" x14ac:dyDescent="0.25">
      <c r="A45" s="142"/>
      <c r="B45" s="145"/>
      <c r="C45" s="145"/>
      <c r="D45" s="59" t="s">
        <v>194</v>
      </c>
      <c r="E45" s="59" t="s">
        <v>56</v>
      </c>
      <c r="F45" s="60">
        <f>+COMPRAS!E163</f>
        <v>141.69704400000001</v>
      </c>
      <c r="G45" s="60"/>
      <c r="H45" s="148"/>
      <c r="I45" s="150"/>
      <c r="J45" s="151"/>
    </row>
    <row r="46" spans="1:10" x14ac:dyDescent="0.25">
      <c r="A46" s="142"/>
      <c r="B46" s="145"/>
      <c r="C46" s="145"/>
      <c r="D46" s="59" t="str">
        <f>+COMPRAS!E169</f>
        <v>Retencion IVA por pagar 20%</v>
      </c>
      <c r="E46" s="59" t="str">
        <f>+COMPRAS!D169</f>
        <v>2.1.01.07.002</v>
      </c>
      <c r="F46" s="60"/>
      <c r="G46" s="60">
        <f>+COMPRAS!L169</f>
        <v>28.339408800000001</v>
      </c>
      <c r="H46" s="148"/>
      <c r="I46" s="150"/>
      <c r="J46" s="151"/>
    </row>
    <row r="47" spans="1:10" x14ac:dyDescent="0.25">
      <c r="A47" s="142"/>
      <c r="B47" s="145"/>
      <c r="C47" s="145"/>
      <c r="D47" s="59" t="str">
        <f>+COMPRAS!E170</f>
        <v>Impuesto a la renta por pagar 2%</v>
      </c>
      <c r="E47" s="59" t="str">
        <f>+COMPRAS!D170</f>
        <v>2.1.01.06.002</v>
      </c>
      <c r="F47" s="60"/>
      <c r="G47" s="60">
        <f>+COMPRAS!L170</f>
        <v>23.616174000000001</v>
      </c>
      <c r="H47" s="148"/>
      <c r="I47" s="150"/>
      <c r="J47" s="151"/>
    </row>
    <row r="48" spans="1:10" x14ac:dyDescent="0.25">
      <c r="A48" s="142"/>
      <c r="B48" s="145"/>
      <c r="C48" s="145"/>
      <c r="D48" s="59" t="s">
        <v>85</v>
      </c>
      <c r="E48" s="59"/>
      <c r="F48" s="60"/>
      <c r="G48" s="60">
        <f>+COMPRAS!N169</f>
        <v>1270.5501611999998</v>
      </c>
      <c r="H48" s="148"/>
      <c r="I48" s="150"/>
      <c r="J48" s="151"/>
    </row>
    <row r="49" spans="1:10" x14ac:dyDescent="0.25">
      <c r="A49" s="152">
        <v>12</v>
      </c>
      <c r="B49" s="154">
        <f>+B44</f>
        <v>43498</v>
      </c>
      <c r="C49" s="156" t="str">
        <f>+C44</f>
        <v>FACTURA COMPRA # 6</v>
      </c>
      <c r="D49" s="61" t="s">
        <v>85</v>
      </c>
      <c r="E49" s="61"/>
      <c r="F49" s="62">
        <f>+COMPRAS!C176</f>
        <v>762.33009671999991</v>
      </c>
      <c r="G49" s="62"/>
      <c r="H49" s="158">
        <f>+SUM(F49:F50)</f>
        <v>762.33009671999991</v>
      </c>
      <c r="I49" s="160">
        <f>+SUM(G49:G50)</f>
        <v>762.33009671999991</v>
      </c>
      <c r="J49" s="151"/>
    </row>
    <row r="50" spans="1:10" ht="15.75" thickBot="1" x14ac:dyDescent="0.3">
      <c r="A50" s="153"/>
      <c r="B50" s="155"/>
      <c r="C50" s="157"/>
      <c r="D50" s="69" t="str">
        <f>+COMPRAS!C175</f>
        <v>Bancos XXX XXXX</v>
      </c>
      <c r="E50" s="65"/>
      <c r="F50" s="66"/>
      <c r="G50" s="66">
        <f>+COMPRAS!C176</f>
        <v>762.33009671999991</v>
      </c>
      <c r="H50" s="159"/>
      <c r="I50" s="161"/>
      <c r="J50" s="151"/>
    </row>
    <row r="51" spans="1:10" x14ac:dyDescent="0.25">
      <c r="A51" s="141">
        <v>13</v>
      </c>
      <c r="B51" s="143">
        <f>+COMPRAS!C192</f>
        <v>43497</v>
      </c>
      <c r="C51" s="146" t="str">
        <f>+COMPRAS!C182</f>
        <v>FACTURA COMPRA # 7</v>
      </c>
      <c r="D51" s="63" t="s">
        <v>69</v>
      </c>
      <c r="E51" s="63" t="s">
        <v>46</v>
      </c>
      <c r="F51" s="64">
        <f>+COMPRAS!E191+COMPRAS!E192-COMPRAS!E193</f>
        <v>424.4316</v>
      </c>
      <c r="G51" s="64"/>
      <c r="H51" s="147">
        <f>+SUM(F51:F53)</f>
        <v>475.36339199999998</v>
      </c>
      <c r="I51" s="149">
        <f>+SUM(G51:G53)</f>
        <v>475.36339199999992</v>
      </c>
      <c r="J51" s="151" t="s">
        <v>278</v>
      </c>
    </row>
    <row r="52" spans="1:10" x14ac:dyDescent="0.25">
      <c r="A52" s="142"/>
      <c r="B52" s="145"/>
      <c r="C52" s="145"/>
      <c r="D52" s="59" t="s">
        <v>194</v>
      </c>
      <c r="E52" s="59" t="s">
        <v>56</v>
      </c>
      <c r="F52" s="60">
        <f>+COMPRAS!E194</f>
        <v>50.931791999999994</v>
      </c>
      <c r="G52" s="60"/>
      <c r="H52" s="148"/>
      <c r="I52" s="150"/>
      <c r="J52" s="151"/>
    </row>
    <row r="53" spans="1:10" ht="15.75" thickBot="1" x14ac:dyDescent="0.3">
      <c r="A53" s="162"/>
      <c r="B53" s="163"/>
      <c r="C53" s="163"/>
      <c r="D53" s="67" t="s">
        <v>85</v>
      </c>
      <c r="E53" s="67"/>
      <c r="F53" s="68"/>
      <c r="G53" s="68">
        <f>+COMPRAS!E195</f>
        <v>475.36339199999992</v>
      </c>
      <c r="H53" s="164"/>
      <c r="I53" s="165"/>
      <c r="J53" s="151"/>
    </row>
    <row r="54" spans="1:10" ht="15" customHeight="1" x14ac:dyDescent="0.25">
      <c r="A54" s="141">
        <v>14</v>
      </c>
      <c r="B54" s="143">
        <f>+COMPRAS!C215</f>
        <v>43497</v>
      </c>
      <c r="C54" s="146" t="str">
        <f>+COMPRAS!C205</f>
        <v>FACTURA COMPRA # 8</v>
      </c>
      <c r="D54" s="63" t="s">
        <v>69</v>
      </c>
      <c r="E54" s="63" t="s">
        <v>46</v>
      </c>
      <c r="F54" s="64">
        <f>+COMPRAS!E214+COMPRAS!E215-COMPRAS!E216</f>
        <v>501.85159999999996</v>
      </c>
      <c r="G54" s="64"/>
      <c r="H54" s="147">
        <f>+SUM(F54:F56)</f>
        <v>562.07379199999991</v>
      </c>
      <c r="I54" s="149">
        <f>+SUM(G54:G56)</f>
        <v>562.07379200000003</v>
      </c>
      <c r="J54" s="151" t="s">
        <v>278</v>
      </c>
    </row>
    <row r="55" spans="1:10" x14ac:dyDescent="0.25">
      <c r="A55" s="142"/>
      <c r="B55" s="145"/>
      <c r="C55" s="145"/>
      <c r="D55" s="59" t="s">
        <v>194</v>
      </c>
      <c r="E55" s="59" t="s">
        <v>56</v>
      </c>
      <c r="F55" s="60">
        <f>+COMPRAS!E217</f>
        <v>60.222191999999993</v>
      </c>
      <c r="G55" s="60"/>
      <c r="H55" s="148"/>
      <c r="I55" s="150"/>
      <c r="J55" s="151"/>
    </row>
    <row r="56" spans="1:10" x14ac:dyDescent="0.25">
      <c r="A56" s="142"/>
      <c r="B56" s="145"/>
      <c r="C56" s="145"/>
      <c r="D56" s="59" t="s">
        <v>85</v>
      </c>
      <c r="E56" s="59"/>
      <c r="F56" s="60"/>
      <c r="G56" s="60">
        <f>+COMPRAS!E218</f>
        <v>562.07379200000003</v>
      </c>
      <c r="H56" s="148"/>
      <c r="I56" s="150"/>
      <c r="J56" s="151"/>
    </row>
    <row r="57" spans="1:10" x14ac:dyDescent="0.25">
      <c r="A57" s="152">
        <v>15</v>
      </c>
      <c r="B57" s="154">
        <f>+B54</f>
        <v>43497</v>
      </c>
      <c r="C57" s="156" t="str">
        <f>+C54</f>
        <v>FACTURA COMPRA # 8</v>
      </c>
      <c r="D57" s="61" t="s">
        <v>85</v>
      </c>
      <c r="E57" s="61"/>
      <c r="F57" s="62">
        <f>+COMPRAS!E218</f>
        <v>562.07379200000003</v>
      </c>
      <c r="G57" s="62"/>
      <c r="H57" s="158">
        <f>+SUM(F57:F58)</f>
        <v>562.07379200000003</v>
      </c>
      <c r="I57" s="160">
        <f>+SUM(G57:G58)</f>
        <v>562.07379200000003</v>
      </c>
      <c r="J57" s="151"/>
    </row>
    <row r="58" spans="1:10" ht="15.75" thickBot="1" x14ac:dyDescent="0.3">
      <c r="A58" s="153"/>
      <c r="B58" s="155"/>
      <c r="C58" s="157"/>
      <c r="D58" s="69" t="str">
        <f>+COMPRAS!C224</f>
        <v>Caja General</v>
      </c>
      <c r="E58" s="65"/>
      <c r="F58" s="66"/>
      <c r="G58" s="66">
        <f>+COMPRAS!C225</f>
        <v>562.07379200000003</v>
      </c>
      <c r="H58" s="159"/>
      <c r="I58" s="161"/>
      <c r="J58" s="151"/>
    </row>
    <row r="59" spans="1:10" x14ac:dyDescent="0.25">
      <c r="A59" s="141">
        <v>16</v>
      </c>
      <c r="B59" s="143">
        <f>+COMPRAS!C238</f>
        <v>43497</v>
      </c>
      <c r="C59" s="146" t="str">
        <f>+COMPRAS!C228</f>
        <v>FACTURA COMPRA # 9</v>
      </c>
      <c r="D59" s="63" t="s">
        <v>69</v>
      </c>
      <c r="E59" s="63" t="s">
        <v>46</v>
      </c>
      <c r="F59" s="64">
        <f>+COMPRAS!E237+COMPRAS!E238-COMPRAS!E239</f>
        <v>405.8116</v>
      </c>
      <c r="G59" s="64"/>
      <c r="H59" s="147">
        <f>+SUM(F59:F61)</f>
        <v>454.50899199999998</v>
      </c>
      <c r="I59" s="149">
        <f>+SUM(G59:G61)</f>
        <v>454.50899199999998</v>
      </c>
      <c r="J59" s="151" t="s">
        <v>278</v>
      </c>
    </row>
    <row r="60" spans="1:10" x14ac:dyDescent="0.25">
      <c r="A60" s="142"/>
      <c r="B60" s="145"/>
      <c r="C60" s="145"/>
      <c r="D60" s="59" t="s">
        <v>194</v>
      </c>
      <c r="E60" s="59" t="s">
        <v>56</v>
      </c>
      <c r="F60" s="60">
        <f>+COMPRAS!E240</f>
        <v>48.697391999999994</v>
      </c>
      <c r="G60" s="60"/>
      <c r="H60" s="148"/>
      <c r="I60" s="150"/>
      <c r="J60" s="151"/>
    </row>
    <row r="61" spans="1:10" x14ac:dyDescent="0.25">
      <c r="A61" s="142"/>
      <c r="B61" s="145"/>
      <c r="C61" s="145"/>
      <c r="D61" s="59" t="s">
        <v>85</v>
      </c>
      <c r="E61" s="59"/>
      <c r="F61" s="60"/>
      <c r="G61" s="60">
        <f>+COMPRAS!E241</f>
        <v>454.50899199999998</v>
      </c>
      <c r="H61" s="148"/>
      <c r="I61" s="150"/>
      <c r="J61" s="151"/>
    </row>
    <row r="62" spans="1:10" x14ac:dyDescent="0.25">
      <c r="A62" s="152">
        <v>17</v>
      </c>
      <c r="B62" s="154">
        <f>+B59</f>
        <v>43497</v>
      </c>
      <c r="C62" s="156" t="str">
        <f>+C59</f>
        <v>FACTURA COMPRA # 9</v>
      </c>
      <c r="D62" s="61" t="s">
        <v>85</v>
      </c>
      <c r="E62" s="61"/>
      <c r="F62" s="62">
        <f>+G61</f>
        <v>454.50899199999998</v>
      </c>
      <c r="G62" s="62"/>
      <c r="H62" s="158">
        <f>+SUM(F62:F63)</f>
        <v>454.50899199999998</v>
      </c>
      <c r="I62" s="160">
        <f>+SUM(G62:G63)</f>
        <v>454.50899199999998</v>
      </c>
      <c r="J62" s="151"/>
    </row>
    <row r="63" spans="1:10" ht="15.75" thickBot="1" x14ac:dyDescent="0.3">
      <c r="A63" s="153"/>
      <c r="B63" s="155"/>
      <c r="C63" s="157"/>
      <c r="D63" s="69" t="s">
        <v>332</v>
      </c>
      <c r="E63" s="65" t="s">
        <v>333</v>
      </c>
      <c r="F63" s="66"/>
      <c r="G63" s="66">
        <f>+COMPRAS!C248</f>
        <v>454.50899199999998</v>
      </c>
      <c r="H63" s="159"/>
      <c r="I63" s="161"/>
      <c r="J63" s="151"/>
    </row>
    <row r="64" spans="1:10" x14ac:dyDescent="0.25">
      <c r="A64" s="141">
        <v>18</v>
      </c>
      <c r="B64" s="143">
        <f>+COMPRAS!C261</f>
        <v>43498</v>
      </c>
      <c r="C64" s="146" t="str">
        <f>+COMPRAS!C251</f>
        <v>FACTURA COMPRA # 10</v>
      </c>
      <c r="D64" s="63" t="s">
        <v>69</v>
      </c>
      <c r="E64" s="63" t="s">
        <v>46</v>
      </c>
      <c r="F64" s="64">
        <f>+COMPRAS!E260+COMPRAS!E261-COMPRAS!E262</f>
        <v>1180.8087</v>
      </c>
      <c r="G64" s="64"/>
      <c r="H64" s="147">
        <f>+SUM(F64:F66)</f>
        <v>1322.505744</v>
      </c>
      <c r="I64" s="149">
        <f>+SUM(G64:G66)</f>
        <v>1322.5057439999998</v>
      </c>
      <c r="J64" s="151" t="s">
        <v>278</v>
      </c>
    </row>
    <row r="65" spans="1:10" x14ac:dyDescent="0.25">
      <c r="A65" s="142"/>
      <c r="B65" s="145"/>
      <c r="C65" s="145"/>
      <c r="D65" s="59" t="s">
        <v>194</v>
      </c>
      <c r="E65" s="59" t="s">
        <v>56</v>
      </c>
      <c r="F65" s="60">
        <f>+COMPRAS!E263</f>
        <v>141.69704400000001</v>
      </c>
      <c r="G65" s="60"/>
      <c r="H65" s="148"/>
      <c r="I65" s="150"/>
      <c r="J65" s="151"/>
    </row>
    <row r="66" spans="1:10" x14ac:dyDescent="0.25">
      <c r="A66" s="142"/>
      <c r="B66" s="145"/>
      <c r="C66" s="145"/>
      <c r="D66" s="59" t="s">
        <v>85</v>
      </c>
      <c r="E66" s="59"/>
      <c r="F66" s="60"/>
      <c r="G66" s="60">
        <f>+COMPRAS!E264</f>
        <v>1322.5057439999998</v>
      </c>
      <c r="H66" s="148"/>
      <c r="I66" s="150"/>
      <c r="J66" s="151"/>
    </row>
    <row r="67" spans="1:10" x14ac:dyDescent="0.25">
      <c r="A67" s="152">
        <v>19</v>
      </c>
      <c r="B67" s="154">
        <f>+B64</f>
        <v>43498</v>
      </c>
      <c r="C67" s="156" t="str">
        <f>+C64</f>
        <v>FACTURA COMPRA # 10</v>
      </c>
      <c r="D67" s="61" t="s">
        <v>85</v>
      </c>
      <c r="E67" s="61"/>
      <c r="F67" s="62">
        <f>+G66</f>
        <v>1322.5057439999998</v>
      </c>
      <c r="G67" s="62"/>
      <c r="H67" s="158">
        <f>+SUM(F67:F68)</f>
        <v>1322.5057439999998</v>
      </c>
      <c r="I67" s="160">
        <f>+SUM(G67:G68)</f>
        <v>1322.5057439999998</v>
      </c>
      <c r="J67" s="151"/>
    </row>
    <row r="68" spans="1:10" ht="15.75" thickBot="1" x14ac:dyDescent="0.3">
      <c r="A68" s="153"/>
      <c r="B68" s="155"/>
      <c r="C68" s="157"/>
      <c r="D68" s="69" t="str">
        <f>+COMPRAS!C270</f>
        <v>Bancos XXX XXXX</v>
      </c>
      <c r="E68" s="65"/>
      <c r="F68" s="66"/>
      <c r="G68" s="66">
        <f>+COMPRAS!C271</f>
        <v>1322.5057439999998</v>
      </c>
      <c r="H68" s="159"/>
      <c r="I68" s="161"/>
      <c r="J68" s="151"/>
    </row>
    <row r="69" spans="1:10" ht="15" customHeight="1" x14ac:dyDescent="0.25">
      <c r="A69" s="141">
        <v>20</v>
      </c>
      <c r="B69" s="143">
        <f>+COMPRAS!C284</f>
        <v>43498</v>
      </c>
      <c r="C69" s="146" t="str">
        <f>+COMPRAS!C274</f>
        <v>FACTURA COMPRA # 11</v>
      </c>
      <c r="D69" s="63" t="s">
        <v>69</v>
      </c>
      <c r="E69" s="63" t="s">
        <v>46</v>
      </c>
      <c r="F69" s="64">
        <f>+COMPRAS!E283+COMPRAS!E284-COMPRAS!E285</f>
        <v>1180.8087</v>
      </c>
      <c r="G69" s="64"/>
      <c r="H69" s="147">
        <f>+SUM(F69:F71)</f>
        <v>1322.505744</v>
      </c>
      <c r="I69" s="149">
        <f>+SUM(G69:G71)</f>
        <v>1322.5057439999998</v>
      </c>
      <c r="J69" s="151" t="s">
        <v>278</v>
      </c>
    </row>
    <row r="70" spans="1:10" x14ac:dyDescent="0.25">
      <c r="A70" s="142"/>
      <c r="B70" s="145"/>
      <c r="C70" s="145"/>
      <c r="D70" s="59" t="s">
        <v>194</v>
      </c>
      <c r="E70" s="59" t="s">
        <v>56</v>
      </c>
      <c r="F70" s="60">
        <f>+COMPRAS!E286</f>
        <v>141.69704400000001</v>
      </c>
      <c r="G70" s="60"/>
      <c r="H70" s="148"/>
      <c r="I70" s="150"/>
      <c r="J70" s="151"/>
    </row>
    <row r="71" spans="1:10" x14ac:dyDescent="0.25">
      <c r="A71" s="142"/>
      <c r="B71" s="145"/>
      <c r="C71" s="145"/>
      <c r="D71" s="59" t="s">
        <v>85</v>
      </c>
      <c r="E71" s="59"/>
      <c r="F71" s="60"/>
      <c r="G71" s="60">
        <f>+COMPRAS!E287</f>
        <v>1322.5057439999998</v>
      </c>
      <c r="H71" s="148"/>
      <c r="I71" s="150"/>
      <c r="J71" s="151"/>
    </row>
    <row r="72" spans="1:10" x14ac:dyDescent="0.25">
      <c r="A72" s="152">
        <v>21</v>
      </c>
      <c r="B72" s="154">
        <f>+B69</f>
        <v>43498</v>
      </c>
      <c r="C72" s="156" t="str">
        <f>+C69</f>
        <v>FACTURA COMPRA # 11</v>
      </c>
      <c r="D72" s="61" t="s">
        <v>85</v>
      </c>
      <c r="E72" s="61"/>
      <c r="F72" s="62">
        <f>+G71</f>
        <v>1322.5057439999998</v>
      </c>
      <c r="G72" s="62"/>
      <c r="H72" s="158">
        <f>+SUM(F72:F75)</f>
        <v>1322.5057439999998</v>
      </c>
      <c r="I72" s="160">
        <f>+SUM(G72:G75)</f>
        <v>1322.5057439999998</v>
      </c>
      <c r="J72" s="151"/>
    </row>
    <row r="73" spans="1:10" x14ac:dyDescent="0.25">
      <c r="A73" s="152"/>
      <c r="B73" s="154"/>
      <c r="C73" s="156"/>
      <c r="D73" s="70" t="str">
        <f>+COMPRAS!C294</f>
        <v>Bancos XXX XXXX</v>
      </c>
      <c r="E73" s="61"/>
      <c r="F73" s="62"/>
      <c r="G73" s="62">
        <f>+COMPRAS!C295</f>
        <v>396.75172319999996</v>
      </c>
      <c r="H73" s="158"/>
      <c r="I73" s="160"/>
      <c r="J73" s="151"/>
    </row>
    <row r="74" spans="1:10" x14ac:dyDescent="0.25">
      <c r="A74" s="152"/>
      <c r="B74" s="154"/>
      <c r="C74" s="156"/>
      <c r="D74" s="70" t="str">
        <f>+COMPRAS!C296</f>
        <v>Bancos XYZ XYZ</v>
      </c>
      <c r="E74" s="61"/>
      <c r="F74" s="62"/>
      <c r="G74" s="62">
        <f>+COMPRAS!C297</f>
        <v>396.75172319999996</v>
      </c>
      <c r="H74" s="158"/>
      <c r="I74" s="160"/>
      <c r="J74" s="151"/>
    </row>
    <row r="75" spans="1:10" ht="15.75" thickBot="1" x14ac:dyDescent="0.3">
      <c r="A75" s="153"/>
      <c r="B75" s="155"/>
      <c r="C75" s="157"/>
      <c r="D75" s="69" t="str">
        <f>+COMPRAS!C299</f>
        <v>Caja General</v>
      </c>
      <c r="E75" s="65"/>
      <c r="F75" s="66"/>
      <c r="G75" s="66">
        <f>+COMPRAS!C300</f>
        <v>529.00229759999991</v>
      </c>
      <c r="H75" s="159"/>
      <c r="I75" s="161"/>
      <c r="J75" s="151"/>
    </row>
    <row r="76" spans="1:10" x14ac:dyDescent="0.25">
      <c r="A76" s="141">
        <v>22</v>
      </c>
      <c r="B76" s="143">
        <f>+COMPRAS!C313</f>
        <v>43498</v>
      </c>
      <c r="C76" s="146" t="str">
        <f>+COMPRAS!C303</f>
        <v>FACTURA COMPRA # 12</v>
      </c>
      <c r="D76" s="63" t="s">
        <v>69</v>
      </c>
      <c r="E76" s="63" t="s">
        <v>46</v>
      </c>
      <c r="F76" s="64">
        <f>+COMPRAS!E312+COMPRAS!E313-COMPRAS!E314</f>
        <v>1180.8087</v>
      </c>
      <c r="G76" s="64"/>
      <c r="H76" s="147">
        <f>+SUM(F76:F78)</f>
        <v>1322.505744</v>
      </c>
      <c r="I76" s="149">
        <f>+SUM(G76:G78)</f>
        <v>1322.5057439999998</v>
      </c>
      <c r="J76" s="151" t="s">
        <v>278</v>
      </c>
    </row>
    <row r="77" spans="1:10" x14ac:dyDescent="0.25">
      <c r="A77" s="142"/>
      <c r="B77" s="145"/>
      <c r="C77" s="145"/>
      <c r="D77" s="59" t="s">
        <v>194</v>
      </c>
      <c r="E77" s="59" t="s">
        <v>56</v>
      </c>
      <c r="F77" s="60">
        <f>+COMPRAS!E315</f>
        <v>141.69704400000001</v>
      </c>
      <c r="G77" s="60"/>
      <c r="H77" s="148"/>
      <c r="I77" s="150"/>
      <c r="J77" s="151"/>
    </row>
    <row r="78" spans="1:10" x14ac:dyDescent="0.25">
      <c r="A78" s="142"/>
      <c r="B78" s="145"/>
      <c r="C78" s="145"/>
      <c r="D78" s="59" t="s">
        <v>85</v>
      </c>
      <c r="E78" s="59"/>
      <c r="F78" s="60"/>
      <c r="G78" s="60">
        <f>+COMPRAS!E316</f>
        <v>1322.5057439999998</v>
      </c>
      <c r="H78" s="148"/>
      <c r="I78" s="150"/>
      <c r="J78" s="151"/>
    </row>
    <row r="79" spans="1:10" x14ac:dyDescent="0.25">
      <c r="A79" s="152">
        <v>23</v>
      </c>
      <c r="B79" s="154">
        <f>+B76</f>
        <v>43498</v>
      </c>
      <c r="C79" s="156" t="str">
        <f>+C76</f>
        <v>FACTURA COMPRA # 12</v>
      </c>
      <c r="D79" s="70" t="str">
        <f>+COMPRAS!C325</f>
        <v>Proveedores</v>
      </c>
      <c r="E79" s="61"/>
      <c r="F79" s="62">
        <f>+COMPRAS!C323</f>
        <v>793.50344639999992</v>
      </c>
      <c r="G79" s="62"/>
      <c r="H79" s="158">
        <f>+SUM(F79:F80)</f>
        <v>793.50344639999992</v>
      </c>
      <c r="I79" s="160">
        <f>+SUM(G79:G80)</f>
        <v>793.50344639999992</v>
      </c>
      <c r="J79" s="151"/>
    </row>
    <row r="80" spans="1:10" ht="15.75" thickBot="1" x14ac:dyDescent="0.3">
      <c r="A80" s="153"/>
      <c r="B80" s="155"/>
      <c r="C80" s="157"/>
      <c r="D80" s="69" t="str">
        <f>+COMPRAS!C322</f>
        <v>Bancos XXX XXXX</v>
      </c>
      <c r="E80" s="65"/>
      <c r="F80" s="66"/>
      <c r="G80" s="66">
        <f>+COMPRAS!C323</f>
        <v>793.50344639999992</v>
      </c>
      <c r="H80" s="159"/>
      <c r="I80" s="161"/>
      <c r="J80" s="151"/>
    </row>
    <row r="81" spans="1:10" x14ac:dyDescent="0.25">
      <c r="A81" s="141">
        <v>24</v>
      </c>
      <c r="B81" s="143">
        <f>+COMPRAS!C339</f>
        <v>43500</v>
      </c>
      <c r="C81" s="146" t="str">
        <f>+COMPRAS!C329</f>
        <v>FACTURA COMPRA # 13</v>
      </c>
      <c r="D81" s="63" t="str">
        <f>+COMPRAS!P332</f>
        <v>Útiles y papelería</v>
      </c>
      <c r="E81" s="63" t="str">
        <f>+COMPRAS!Q332</f>
        <v>5.2.01.02.011</v>
      </c>
      <c r="F81" s="64">
        <f>+COMPRAS!E338+COMPRAS!E339+-COMPRAS!E340</f>
        <v>81.5</v>
      </c>
      <c r="G81" s="64"/>
      <c r="H81" s="147">
        <f>+SUM(F81:F85)</f>
        <v>91.28</v>
      </c>
      <c r="I81" s="149">
        <f>+SUM(G81:G85)</f>
        <v>91.28</v>
      </c>
      <c r="J81" s="151" t="s">
        <v>278</v>
      </c>
    </row>
    <row r="82" spans="1:10" x14ac:dyDescent="0.25">
      <c r="A82" s="142"/>
      <c r="B82" s="145"/>
      <c r="C82" s="145"/>
      <c r="D82" s="59" t="s">
        <v>194</v>
      </c>
      <c r="E82" s="59" t="s">
        <v>56</v>
      </c>
      <c r="F82" s="60">
        <f>+COMPRAS!E341</f>
        <v>9.7799999999999994</v>
      </c>
      <c r="G82" s="60"/>
      <c r="H82" s="148"/>
      <c r="I82" s="150"/>
      <c r="J82" s="151"/>
    </row>
    <row r="83" spans="1:10" x14ac:dyDescent="0.25">
      <c r="A83" s="142"/>
      <c r="B83" s="145"/>
      <c r="C83" s="145"/>
      <c r="D83" s="59" t="str">
        <f>+COMPRAS!E347</f>
        <v>Retencion IVA por pagar 100%</v>
      </c>
      <c r="E83" s="59" t="str">
        <f>+COMPRAS!D347</f>
        <v>2.1.01.07.006</v>
      </c>
      <c r="F83" s="60"/>
      <c r="G83" s="60">
        <f>+COMPRAS!L347</f>
        <v>9.7799999999999994</v>
      </c>
      <c r="H83" s="148"/>
      <c r="I83" s="150"/>
      <c r="J83" s="151"/>
    </row>
    <row r="84" spans="1:10" x14ac:dyDescent="0.25">
      <c r="A84" s="142"/>
      <c r="B84" s="145"/>
      <c r="C84" s="145"/>
      <c r="D84" s="59" t="str">
        <f>+COMPRAS!E348</f>
        <v>Impuesto a la renta por pagar 1%</v>
      </c>
      <c r="E84" s="59" t="str">
        <f>+COMPRAS!D348</f>
        <v>2.1.01.06.001</v>
      </c>
      <c r="F84" s="60"/>
      <c r="G84" s="60">
        <f>+COMPRAS!L348</f>
        <v>0.81500000000000006</v>
      </c>
      <c r="H84" s="148"/>
      <c r="I84" s="150"/>
      <c r="J84" s="151"/>
    </row>
    <row r="85" spans="1:10" ht="15.75" thickBot="1" x14ac:dyDescent="0.3">
      <c r="A85" s="162"/>
      <c r="B85" s="163"/>
      <c r="C85" s="163"/>
      <c r="D85" s="67" t="s">
        <v>85</v>
      </c>
      <c r="E85" s="67"/>
      <c r="F85" s="68"/>
      <c r="G85" s="68">
        <f>+COMPRAS!N347</f>
        <v>80.685000000000002</v>
      </c>
      <c r="H85" s="164"/>
      <c r="I85" s="165"/>
      <c r="J85" s="151"/>
    </row>
    <row r="86" spans="1:10" ht="15" customHeight="1" x14ac:dyDescent="0.25">
      <c r="A86" s="141">
        <v>25</v>
      </c>
      <c r="B86" s="143">
        <f>+COMPRAS!C367</f>
        <v>43500</v>
      </c>
      <c r="C86" s="146" t="str">
        <f>+COMPRAS!C357</f>
        <v>FACTURA COMPRA # 14</v>
      </c>
      <c r="D86" s="63" t="str">
        <f>+COMPRAS!P360</f>
        <v>Útiles y papelería</v>
      </c>
      <c r="E86" s="63" t="str">
        <f>+COMPRAS!Q360</f>
        <v>5.2.01.02.011</v>
      </c>
      <c r="F86" s="64">
        <f>+COMPRAS!E366+COMPRAS!E367-COMPRAS!E368</f>
        <v>839.46</v>
      </c>
      <c r="G86" s="64"/>
      <c r="H86" s="147">
        <f>+SUM(F86:F90)</f>
        <v>940.1952</v>
      </c>
      <c r="I86" s="149">
        <f>+SUM(G86:G90)</f>
        <v>940.1952</v>
      </c>
      <c r="J86" s="151" t="s">
        <v>278</v>
      </c>
    </row>
    <row r="87" spans="1:10" x14ac:dyDescent="0.25">
      <c r="A87" s="142"/>
      <c r="B87" s="145"/>
      <c r="C87" s="145"/>
      <c r="D87" s="59" t="s">
        <v>194</v>
      </c>
      <c r="E87" s="59" t="s">
        <v>56</v>
      </c>
      <c r="F87" s="60">
        <f>+COMPRAS!E369</f>
        <v>100.73519999999999</v>
      </c>
      <c r="G87" s="60"/>
      <c r="H87" s="148"/>
      <c r="I87" s="150"/>
      <c r="J87" s="151"/>
    </row>
    <row r="88" spans="1:10" x14ac:dyDescent="0.25">
      <c r="A88" s="142"/>
      <c r="B88" s="145"/>
      <c r="C88" s="145"/>
      <c r="D88" s="59" t="str">
        <f>+COMPRAS!E375</f>
        <v>Retencion IVA por pagar 30%</v>
      </c>
      <c r="E88" s="59" t="str">
        <f>+COMPRAS!D375</f>
        <v>2.1.01.07.003</v>
      </c>
      <c r="F88" s="60"/>
      <c r="G88" s="60">
        <f>+COMPRAS!L375</f>
        <v>30.220559999999995</v>
      </c>
      <c r="H88" s="148"/>
      <c r="I88" s="150"/>
      <c r="J88" s="151"/>
    </row>
    <row r="89" spans="1:10" x14ac:dyDescent="0.25">
      <c r="A89" s="142"/>
      <c r="B89" s="145"/>
      <c r="C89" s="145"/>
      <c r="D89" s="59" t="str">
        <f>+COMPRAS!E376</f>
        <v>Impuesto a la renta por pagar 8%</v>
      </c>
      <c r="E89" s="59" t="str">
        <f>+COMPRAS!D376</f>
        <v>2.1.01.06.003</v>
      </c>
      <c r="F89" s="60"/>
      <c r="G89" s="60">
        <f>+COMPRAS!L376</f>
        <v>67.156800000000004</v>
      </c>
      <c r="H89" s="148"/>
      <c r="I89" s="150"/>
      <c r="J89" s="151"/>
    </row>
    <row r="90" spans="1:10" x14ac:dyDescent="0.25">
      <c r="A90" s="142"/>
      <c r="B90" s="145"/>
      <c r="C90" s="145"/>
      <c r="D90" s="59" t="s">
        <v>85</v>
      </c>
      <c r="E90" s="59"/>
      <c r="F90" s="60"/>
      <c r="G90" s="60">
        <f>+COMPRAS!N375</f>
        <v>842.81784000000005</v>
      </c>
      <c r="H90" s="148"/>
      <c r="I90" s="150"/>
      <c r="J90" s="151"/>
    </row>
    <row r="91" spans="1:10" x14ac:dyDescent="0.25">
      <c r="A91" s="152">
        <v>26</v>
      </c>
      <c r="B91" s="154">
        <f>+B86</f>
        <v>43500</v>
      </c>
      <c r="C91" s="156" t="str">
        <f>+C86</f>
        <v>FACTURA COMPRA # 14</v>
      </c>
      <c r="D91" s="61" t="s">
        <v>85</v>
      </c>
      <c r="E91" s="61"/>
      <c r="F91" s="62">
        <f>+G90</f>
        <v>842.81784000000005</v>
      </c>
      <c r="G91" s="62"/>
      <c r="H91" s="158">
        <f>+SUM(F91:F92)</f>
        <v>842.81784000000005</v>
      </c>
      <c r="I91" s="160">
        <f>+SUM(G91:G92)</f>
        <v>842.81784000000005</v>
      </c>
      <c r="J91" s="151"/>
    </row>
    <row r="92" spans="1:10" ht="15.75" thickBot="1" x14ac:dyDescent="0.3">
      <c r="A92" s="153"/>
      <c r="B92" s="155"/>
      <c r="C92" s="157"/>
      <c r="D92" s="69" t="str">
        <f>+COMPRAS!C381</f>
        <v>Caja General</v>
      </c>
      <c r="E92" s="65"/>
      <c r="F92" s="66"/>
      <c r="G92" s="66">
        <f>+COMPRAS!C382</f>
        <v>842.81784000000005</v>
      </c>
      <c r="H92" s="159"/>
      <c r="I92" s="161"/>
      <c r="J92" s="151"/>
    </row>
    <row r="93" spans="1:10" x14ac:dyDescent="0.25">
      <c r="A93" s="141">
        <v>27</v>
      </c>
      <c r="B93" s="143">
        <f>+COMPRAS!C395</f>
        <v>43500</v>
      </c>
      <c r="C93" s="146" t="str">
        <f>+COMPRAS!C385</f>
        <v>FACTURA COMPRA # 15</v>
      </c>
      <c r="D93" s="63" t="str">
        <f>+COMPRAS!P388</f>
        <v>Útiles y papelería</v>
      </c>
      <c r="E93" s="63" t="str">
        <f>+COMPRAS!Q388</f>
        <v>5.2.01.02.011</v>
      </c>
      <c r="F93" s="64">
        <f>+COMPRAS!E394+COMPRAS!E395-COMPRAS!E396</f>
        <v>81.5</v>
      </c>
      <c r="G93" s="64"/>
      <c r="H93" s="147">
        <f>+SUM(F93:F97)</f>
        <v>91.28</v>
      </c>
      <c r="I93" s="149">
        <f>+SUM(G93:G97)</f>
        <v>91.28</v>
      </c>
      <c r="J93" s="151" t="s">
        <v>278</v>
      </c>
    </row>
    <row r="94" spans="1:10" x14ac:dyDescent="0.25">
      <c r="A94" s="142"/>
      <c r="B94" s="145"/>
      <c r="C94" s="145"/>
      <c r="D94" s="59" t="s">
        <v>194</v>
      </c>
      <c r="E94" s="59" t="s">
        <v>56</v>
      </c>
      <c r="F94" s="60">
        <f>+COMPRAS!E397</f>
        <v>9.7799999999999994</v>
      </c>
      <c r="G94" s="60"/>
      <c r="H94" s="148"/>
      <c r="I94" s="150"/>
      <c r="J94" s="151"/>
    </row>
    <row r="95" spans="1:10" x14ac:dyDescent="0.25">
      <c r="A95" s="142"/>
      <c r="B95" s="145"/>
      <c r="C95" s="145"/>
      <c r="D95" s="59" t="str">
        <f>+COMPRAS!E403</f>
        <v>Retencion IVA por pagar 50%</v>
      </c>
      <c r="E95" s="59" t="str">
        <f>+COMPRAS!D403</f>
        <v>2.1.01.07.004</v>
      </c>
      <c r="F95" s="60"/>
      <c r="G95" s="60">
        <f>+COMPRAS!L403</f>
        <v>4.8899999999999997</v>
      </c>
      <c r="H95" s="148"/>
      <c r="I95" s="150"/>
      <c r="J95" s="151"/>
    </row>
    <row r="96" spans="1:10" x14ac:dyDescent="0.25">
      <c r="A96" s="142"/>
      <c r="B96" s="145"/>
      <c r="C96" s="145"/>
      <c r="D96" s="59" t="str">
        <f>+COMPRAS!E404</f>
        <v>Impuesto a la renta por pagar 2%</v>
      </c>
      <c r="E96" s="59" t="str">
        <f>+COMPRAS!D404</f>
        <v>2.1.01.06.002</v>
      </c>
      <c r="F96" s="60"/>
      <c r="G96" s="60">
        <f>+COMPRAS!L404</f>
        <v>1.6300000000000001</v>
      </c>
      <c r="H96" s="148"/>
      <c r="I96" s="150"/>
      <c r="J96" s="151"/>
    </row>
    <row r="97" spans="1:10" x14ac:dyDescent="0.25">
      <c r="A97" s="142"/>
      <c r="B97" s="145"/>
      <c r="C97" s="145"/>
      <c r="D97" s="59" t="s">
        <v>85</v>
      </c>
      <c r="E97" s="59"/>
      <c r="F97" s="60"/>
      <c r="G97" s="60">
        <f>+COMPRAS!N403</f>
        <v>84.76</v>
      </c>
      <c r="H97" s="148"/>
      <c r="I97" s="150"/>
      <c r="J97" s="151"/>
    </row>
    <row r="98" spans="1:10" x14ac:dyDescent="0.25">
      <c r="A98" s="152">
        <v>28</v>
      </c>
      <c r="B98" s="154">
        <f>+B93</f>
        <v>43500</v>
      </c>
      <c r="C98" s="156" t="str">
        <f>+C93</f>
        <v>FACTURA COMPRA # 15</v>
      </c>
      <c r="D98" s="61" t="s">
        <v>85</v>
      </c>
      <c r="E98" s="61"/>
      <c r="F98" s="62">
        <f>+G97</f>
        <v>84.76</v>
      </c>
      <c r="G98" s="62"/>
      <c r="H98" s="158">
        <f>+SUM(F98:F99)</f>
        <v>84.76</v>
      </c>
      <c r="I98" s="160">
        <f>+SUM(G98:G99)</f>
        <v>84.76</v>
      </c>
      <c r="J98" s="151"/>
    </row>
    <row r="99" spans="1:10" ht="15.75" thickBot="1" x14ac:dyDescent="0.3">
      <c r="A99" s="153"/>
      <c r="B99" s="155"/>
      <c r="C99" s="157"/>
      <c r="D99" s="69" t="str">
        <f>+COMPRAS!C409</f>
        <v>Sociedades Financieras</v>
      </c>
      <c r="E99" s="65"/>
      <c r="F99" s="66"/>
      <c r="G99" s="66">
        <f>+COMPRAS!C410</f>
        <v>84.76</v>
      </c>
      <c r="H99" s="159"/>
      <c r="I99" s="161"/>
      <c r="J99" s="151"/>
    </row>
    <row r="100" spans="1:10" x14ac:dyDescent="0.25">
      <c r="A100" s="141">
        <v>29</v>
      </c>
      <c r="B100" s="143">
        <f>+COMPRAS!C423</f>
        <v>43501</v>
      </c>
      <c r="C100" s="146" t="str">
        <f>+COMPRAS!C413</f>
        <v>FACTURA COMPRA # 16</v>
      </c>
      <c r="D100" s="63" t="str">
        <f>+COMPRAS!P416</f>
        <v>Equipos de computación</v>
      </c>
      <c r="E100" s="63" t="str">
        <f>+COMPRAS!Q416</f>
        <v>1.2.01.01.002</v>
      </c>
      <c r="F100" s="64">
        <f>+COMPRAS!E422+COMPRAS!E423-COMPRAS!E424</f>
        <v>840</v>
      </c>
      <c r="G100" s="64"/>
      <c r="H100" s="147">
        <f>+SUM(F100:F104)</f>
        <v>940.8</v>
      </c>
      <c r="I100" s="149">
        <f>+SUM(G100:G104)</f>
        <v>940.8</v>
      </c>
      <c r="J100" s="151" t="s">
        <v>278</v>
      </c>
    </row>
    <row r="101" spans="1:10" x14ac:dyDescent="0.25">
      <c r="A101" s="142"/>
      <c r="B101" s="145"/>
      <c r="C101" s="145"/>
      <c r="D101" s="59" t="s">
        <v>194</v>
      </c>
      <c r="E101" s="59" t="s">
        <v>56</v>
      </c>
      <c r="F101" s="60">
        <f>+COMPRAS!E425</f>
        <v>100.8</v>
      </c>
      <c r="G101" s="60"/>
      <c r="H101" s="148"/>
      <c r="I101" s="150"/>
      <c r="J101" s="151"/>
    </row>
    <row r="102" spans="1:10" x14ac:dyDescent="0.25">
      <c r="A102" s="142"/>
      <c r="B102" s="145"/>
      <c r="C102" s="145"/>
      <c r="D102" s="59" t="str">
        <f>+COMPRAS!E431</f>
        <v>Retencion IVA por pagar 70%</v>
      </c>
      <c r="E102" s="59" t="str">
        <f>+COMPRAS!D431</f>
        <v>2.1.01.07.005</v>
      </c>
      <c r="F102" s="60"/>
      <c r="G102" s="60">
        <f>+COMPRAS!L431</f>
        <v>70.559999999999988</v>
      </c>
      <c r="H102" s="148"/>
      <c r="I102" s="150"/>
      <c r="J102" s="151"/>
    </row>
    <row r="103" spans="1:10" x14ac:dyDescent="0.25">
      <c r="A103" s="142"/>
      <c r="B103" s="145"/>
      <c r="C103" s="145"/>
      <c r="D103" s="59" t="str">
        <f>+COMPRAS!E432</f>
        <v>Impuesto a la renta por pagar 1%</v>
      </c>
      <c r="E103" s="59" t="str">
        <f>+COMPRAS!D432</f>
        <v>2.1.01.06.001</v>
      </c>
      <c r="F103" s="60"/>
      <c r="G103" s="60">
        <f>+COMPRAS!L432</f>
        <v>8.4</v>
      </c>
      <c r="H103" s="148"/>
      <c r="I103" s="150"/>
      <c r="J103" s="151"/>
    </row>
    <row r="104" spans="1:10" x14ac:dyDescent="0.25">
      <c r="A104" s="142"/>
      <c r="B104" s="145"/>
      <c r="C104" s="145"/>
      <c r="D104" s="59" t="s">
        <v>85</v>
      </c>
      <c r="E104" s="59"/>
      <c r="F104" s="60"/>
      <c r="G104" s="60">
        <f>+COMPRAS!N431</f>
        <v>861.83999999999992</v>
      </c>
      <c r="H104" s="148"/>
      <c r="I104" s="150"/>
      <c r="J104" s="151"/>
    </row>
    <row r="105" spans="1:10" x14ac:dyDescent="0.25">
      <c r="A105" s="152">
        <v>30</v>
      </c>
      <c r="B105" s="154">
        <f>+B100</f>
        <v>43501</v>
      </c>
      <c r="C105" s="156" t="str">
        <f>+C100</f>
        <v>FACTURA COMPRA # 16</v>
      </c>
      <c r="D105" s="61" t="s">
        <v>85</v>
      </c>
      <c r="E105" s="61"/>
      <c r="F105" s="62">
        <f>+G104</f>
        <v>861.83999999999992</v>
      </c>
      <c r="G105" s="62"/>
      <c r="H105" s="158">
        <f>+SUM(F105:F106)</f>
        <v>861.83999999999992</v>
      </c>
      <c r="I105" s="160">
        <f>+SUM(G105:G106)</f>
        <v>861.83999999999992</v>
      </c>
      <c r="J105" s="151"/>
    </row>
    <row r="106" spans="1:10" ht="15.75" thickBot="1" x14ac:dyDescent="0.3">
      <c r="A106" s="153"/>
      <c r="B106" s="155"/>
      <c r="C106" s="157"/>
      <c r="D106" s="69" t="str">
        <f>+COMPRAS!C437</f>
        <v>Bancos XXX XXXX</v>
      </c>
      <c r="E106" s="65"/>
      <c r="F106" s="66"/>
      <c r="G106" s="66">
        <f>+COMPRAS!C438</f>
        <v>861.83999999999992</v>
      </c>
      <c r="H106" s="159"/>
      <c r="I106" s="161"/>
      <c r="J106" s="151"/>
    </row>
    <row r="107" spans="1:10" ht="15" customHeight="1" x14ac:dyDescent="0.25">
      <c r="A107" s="141">
        <v>31</v>
      </c>
      <c r="B107" s="143">
        <f>+COMPRAS!C451</f>
        <v>43501</v>
      </c>
      <c r="C107" s="146" t="str">
        <f>+COMPRAS!C441</f>
        <v>FACTURA COMPRA # 17</v>
      </c>
      <c r="D107" s="63" t="str">
        <f>+COMPRAS!P444</f>
        <v>Equipos de computación</v>
      </c>
      <c r="E107" s="63" t="str">
        <f>+COMPRAS!Q444</f>
        <v>1.2.01.01.002</v>
      </c>
      <c r="F107" s="64">
        <f>+COMPRAS!E450+COMPRAS!E451-COMPRAS!E452</f>
        <v>840</v>
      </c>
      <c r="G107" s="64"/>
      <c r="H107" s="147">
        <f>+SUM(F107:F111)</f>
        <v>940.8</v>
      </c>
      <c r="I107" s="149">
        <f>+SUM(G107:G111)</f>
        <v>940.8</v>
      </c>
      <c r="J107" s="151" t="s">
        <v>278</v>
      </c>
    </row>
    <row r="108" spans="1:10" x14ac:dyDescent="0.25">
      <c r="A108" s="142"/>
      <c r="B108" s="145"/>
      <c r="C108" s="145"/>
      <c r="D108" s="59" t="s">
        <v>194</v>
      </c>
      <c r="E108" s="59" t="s">
        <v>56</v>
      </c>
      <c r="F108" s="60">
        <f>+COMPRAS!E453</f>
        <v>100.8</v>
      </c>
      <c r="G108" s="60"/>
      <c r="H108" s="148"/>
      <c r="I108" s="150"/>
      <c r="J108" s="151"/>
    </row>
    <row r="109" spans="1:10" x14ac:dyDescent="0.25">
      <c r="A109" s="142"/>
      <c r="B109" s="145"/>
      <c r="C109" s="145"/>
      <c r="D109" s="59" t="str">
        <f>+COMPRAS!E459</f>
        <v>Retencion IVA por pagar 10%</v>
      </c>
      <c r="E109" s="59" t="str">
        <f>+COMPRAS!D459</f>
        <v>2.1.01.07.001</v>
      </c>
      <c r="F109" s="60"/>
      <c r="G109" s="60">
        <f>+COMPRAS!L459</f>
        <v>10.08</v>
      </c>
      <c r="H109" s="148"/>
      <c r="I109" s="150"/>
      <c r="J109" s="151"/>
    </row>
    <row r="110" spans="1:10" x14ac:dyDescent="0.25">
      <c r="A110" s="142"/>
      <c r="B110" s="145"/>
      <c r="C110" s="145"/>
      <c r="D110" s="59" t="str">
        <f>+COMPRAS!E460</f>
        <v>Impuesto a la renta por pagar 8%</v>
      </c>
      <c r="E110" s="59" t="str">
        <f>+COMPRAS!D460</f>
        <v>2.1.01.06.003</v>
      </c>
      <c r="F110" s="60"/>
      <c r="G110" s="60">
        <f>+COMPRAS!L460</f>
        <v>67.2</v>
      </c>
      <c r="H110" s="148"/>
      <c r="I110" s="150"/>
      <c r="J110" s="151"/>
    </row>
    <row r="111" spans="1:10" x14ac:dyDescent="0.25">
      <c r="A111" s="142"/>
      <c r="B111" s="145"/>
      <c r="C111" s="145"/>
      <c r="D111" s="59" t="s">
        <v>85</v>
      </c>
      <c r="E111" s="59"/>
      <c r="F111" s="60"/>
      <c r="G111" s="60">
        <f>+COMPRAS!N459</f>
        <v>863.52</v>
      </c>
      <c r="H111" s="148"/>
      <c r="I111" s="150"/>
      <c r="J111" s="151"/>
    </row>
    <row r="112" spans="1:10" x14ac:dyDescent="0.25">
      <c r="A112" s="152">
        <v>32</v>
      </c>
      <c r="B112" s="154">
        <f>+B107</f>
        <v>43501</v>
      </c>
      <c r="C112" s="156" t="str">
        <f>+C107</f>
        <v>FACTURA COMPRA # 17</v>
      </c>
      <c r="D112" s="61" t="s">
        <v>85</v>
      </c>
      <c r="E112" s="61"/>
      <c r="F112" s="62">
        <f>+G111</f>
        <v>863.52</v>
      </c>
      <c r="G112" s="62"/>
      <c r="H112" s="158">
        <f>+SUM(F112:F115)</f>
        <v>863.52</v>
      </c>
      <c r="I112" s="160">
        <f>+SUM(G112:G115)</f>
        <v>863.52</v>
      </c>
      <c r="J112" s="151"/>
    </row>
    <row r="113" spans="1:10" x14ac:dyDescent="0.25">
      <c r="A113" s="152"/>
      <c r="B113" s="154"/>
      <c r="C113" s="156"/>
      <c r="D113" s="70" t="str">
        <f>+COMPRAS!C465</f>
        <v>Bancos XXX XXXX</v>
      </c>
      <c r="E113" s="61"/>
      <c r="F113" s="62"/>
      <c r="G113" s="62">
        <f>+COMPRAS!C466</f>
        <v>259.05599999999998</v>
      </c>
      <c r="H113" s="158"/>
      <c r="I113" s="160"/>
      <c r="J113" s="151"/>
    </row>
    <row r="114" spans="1:10" x14ac:dyDescent="0.25">
      <c r="A114" s="152"/>
      <c r="B114" s="154"/>
      <c r="C114" s="156"/>
      <c r="D114" s="70" t="str">
        <f>+COMPRAS!C467</f>
        <v>Bancos XYZ XYZ</v>
      </c>
      <c r="E114" s="61"/>
      <c r="F114" s="62"/>
      <c r="G114" s="62">
        <f>+COMPRAS!C468</f>
        <v>259.05599999999998</v>
      </c>
      <c r="H114" s="158"/>
      <c r="I114" s="160"/>
      <c r="J114" s="151"/>
    </row>
    <row r="115" spans="1:10" ht="15.75" thickBot="1" x14ac:dyDescent="0.3">
      <c r="A115" s="153"/>
      <c r="B115" s="155"/>
      <c r="C115" s="157"/>
      <c r="D115" s="69" t="str">
        <f>+COMPRAS!C470</f>
        <v>Caja General</v>
      </c>
      <c r="E115" s="65"/>
      <c r="F115" s="66"/>
      <c r="G115" s="66">
        <f>+COMPRAS!C471</f>
        <v>345.40800000000002</v>
      </c>
      <c r="H115" s="159"/>
      <c r="I115" s="161"/>
      <c r="J115" s="151"/>
    </row>
    <row r="116" spans="1:10" x14ac:dyDescent="0.25">
      <c r="A116" s="141">
        <v>33</v>
      </c>
      <c r="B116" s="143">
        <f>+COMPRAS!C484</f>
        <v>43501</v>
      </c>
      <c r="C116" s="146" t="str">
        <f>+COMPRAS!C474</f>
        <v>FACTURA COMPRA # 18</v>
      </c>
      <c r="D116" s="63" t="str">
        <f>+COMPRAS!P477</f>
        <v>Equipos de computación</v>
      </c>
      <c r="E116" s="63" t="str">
        <f>+COMPRAS!Q477</f>
        <v>1.2.01.01.002</v>
      </c>
      <c r="F116" s="64">
        <f>+COMPRAS!E483+COMPRAS!E484-COMPRAS!E485</f>
        <v>840</v>
      </c>
      <c r="G116" s="64"/>
      <c r="H116" s="147">
        <f>+SUM(F116:F120)</f>
        <v>940.8</v>
      </c>
      <c r="I116" s="149">
        <f>+SUM(G116:G120)</f>
        <v>940.8</v>
      </c>
      <c r="J116" s="151" t="s">
        <v>278</v>
      </c>
    </row>
    <row r="117" spans="1:10" x14ac:dyDescent="0.25">
      <c r="A117" s="142"/>
      <c r="B117" s="145"/>
      <c r="C117" s="145"/>
      <c r="D117" s="59" t="s">
        <v>194</v>
      </c>
      <c r="E117" s="59" t="s">
        <v>56</v>
      </c>
      <c r="F117" s="60">
        <f>+COMPRAS!E486</f>
        <v>100.8</v>
      </c>
      <c r="G117" s="60"/>
      <c r="H117" s="148"/>
      <c r="I117" s="150"/>
      <c r="J117" s="151"/>
    </row>
    <row r="118" spans="1:10" x14ac:dyDescent="0.25">
      <c r="A118" s="142"/>
      <c r="B118" s="145"/>
      <c r="C118" s="145"/>
      <c r="D118" s="59" t="str">
        <f>+COMPRAS!E492</f>
        <v>Retencion IVA por pagar 20%</v>
      </c>
      <c r="E118" s="59" t="str">
        <f>+COMPRAS!D492</f>
        <v>2.1.01.07.002</v>
      </c>
      <c r="F118" s="60"/>
      <c r="G118" s="60">
        <f>+COMPRAS!L492</f>
        <v>20.16</v>
      </c>
      <c r="H118" s="148"/>
      <c r="I118" s="150"/>
      <c r="J118" s="151"/>
    </row>
    <row r="119" spans="1:10" x14ac:dyDescent="0.25">
      <c r="A119" s="142"/>
      <c r="B119" s="145"/>
      <c r="C119" s="145"/>
      <c r="D119" s="59" t="str">
        <f>+COMPRAS!E493</f>
        <v>Impuesto a la renta por pagar 2%</v>
      </c>
      <c r="E119" s="59" t="str">
        <f>+COMPRAS!D493</f>
        <v>2.1.01.06.002</v>
      </c>
      <c r="F119" s="60"/>
      <c r="G119" s="60">
        <f>+COMPRAS!L493</f>
        <v>16.8</v>
      </c>
      <c r="H119" s="148"/>
      <c r="I119" s="150"/>
      <c r="J119" s="151"/>
    </row>
    <row r="120" spans="1:10" x14ac:dyDescent="0.25">
      <c r="A120" s="142"/>
      <c r="B120" s="145"/>
      <c r="C120" s="145"/>
      <c r="D120" s="59" t="s">
        <v>85</v>
      </c>
      <c r="E120" s="59"/>
      <c r="F120" s="60"/>
      <c r="G120" s="60">
        <f>+COMPRAS!N492</f>
        <v>903.83999999999992</v>
      </c>
      <c r="H120" s="148"/>
      <c r="I120" s="150"/>
      <c r="J120" s="151"/>
    </row>
    <row r="121" spans="1:10" x14ac:dyDescent="0.25">
      <c r="A121" s="152">
        <v>34</v>
      </c>
      <c r="B121" s="154">
        <f>+B116</f>
        <v>43501</v>
      </c>
      <c r="C121" s="156" t="str">
        <f>+C116</f>
        <v>FACTURA COMPRA # 18</v>
      </c>
      <c r="D121" s="61" t="s">
        <v>85</v>
      </c>
      <c r="E121" s="61"/>
      <c r="F121" s="62">
        <f>+COMPRAS!C499</f>
        <v>542.30399999999997</v>
      </c>
      <c r="G121" s="62"/>
      <c r="H121" s="158">
        <f>+SUM(F121:F122)</f>
        <v>542.30399999999997</v>
      </c>
      <c r="I121" s="160">
        <f>+SUM(G121:G122)</f>
        <v>542.30399999999997</v>
      </c>
      <c r="J121" s="151"/>
    </row>
    <row r="122" spans="1:10" ht="15.75" thickBot="1" x14ac:dyDescent="0.3">
      <c r="A122" s="153"/>
      <c r="B122" s="155"/>
      <c r="C122" s="157"/>
      <c r="D122" s="69" t="str">
        <f>+COMPRAS!C498</f>
        <v>Bancos XXX XXXX</v>
      </c>
      <c r="E122" s="65"/>
      <c r="F122" s="66"/>
      <c r="G122" s="66">
        <f>+COMPRAS!C499</f>
        <v>542.30399999999997</v>
      </c>
      <c r="H122" s="159"/>
      <c r="I122" s="161"/>
      <c r="J122" s="151"/>
    </row>
    <row r="123" spans="1:10" x14ac:dyDescent="0.25">
      <c r="A123" s="141">
        <v>35</v>
      </c>
      <c r="B123" s="143">
        <f>+COMPRAS!C515</f>
        <v>43502</v>
      </c>
      <c r="C123" s="146" t="str">
        <f>+COMPRAS!C505</f>
        <v>FACTURA COMPRA # 19</v>
      </c>
      <c r="D123" s="63" t="str">
        <f>+COMPRAS!P508</f>
        <v>Publicidad y propaganda</v>
      </c>
      <c r="E123" s="63" t="str">
        <f>+COMPRAS!Q508</f>
        <v>5.2.01.02.006</v>
      </c>
      <c r="F123" s="64">
        <f>+COMPRAS!E514+COMPRAS!E515-COMPRAS!E516</f>
        <v>590</v>
      </c>
      <c r="G123" s="64"/>
      <c r="H123" s="147">
        <f>+SUM(F123:F125)</f>
        <v>660.8</v>
      </c>
      <c r="I123" s="149">
        <f>+SUM(G123:G125)</f>
        <v>660.8</v>
      </c>
      <c r="J123" s="151" t="s">
        <v>278</v>
      </c>
    </row>
    <row r="124" spans="1:10" x14ac:dyDescent="0.25">
      <c r="A124" s="142"/>
      <c r="B124" s="145"/>
      <c r="C124" s="145"/>
      <c r="D124" s="59" t="s">
        <v>194</v>
      </c>
      <c r="E124" s="59" t="s">
        <v>56</v>
      </c>
      <c r="F124" s="60">
        <f>+COMPRAS!E517</f>
        <v>70.8</v>
      </c>
      <c r="G124" s="60"/>
      <c r="H124" s="148"/>
      <c r="I124" s="150"/>
      <c r="J124" s="151"/>
    </row>
    <row r="125" spans="1:10" ht="15.75" thickBot="1" x14ac:dyDescent="0.3">
      <c r="A125" s="162"/>
      <c r="B125" s="163"/>
      <c r="C125" s="163"/>
      <c r="D125" s="67" t="s">
        <v>85</v>
      </c>
      <c r="E125" s="67"/>
      <c r="F125" s="68"/>
      <c r="G125" s="68">
        <f>+COMPRAS!E518</f>
        <v>660.8</v>
      </c>
      <c r="H125" s="164"/>
      <c r="I125" s="165"/>
      <c r="J125" s="151"/>
    </row>
    <row r="126" spans="1:10" x14ac:dyDescent="0.25">
      <c r="A126" s="141">
        <v>36</v>
      </c>
      <c r="B126" s="143">
        <f>+COMPRAS!C538</f>
        <v>43502</v>
      </c>
      <c r="C126" s="146" t="str">
        <f>+COMPRAS!C528</f>
        <v>FACTURA COMPRA # 20</v>
      </c>
      <c r="D126" s="63" t="str">
        <f>+COMPRAS!P531</f>
        <v>Publicidad y propaganda</v>
      </c>
      <c r="E126" s="63" t="str">
        <f>+COMPRAS!Q531</f>
        <v>5.2.01.02.006</v>
      </c>
      <c r="F126" s="64">
        <f>+COMPRAS!E537+COMPRAS!E538-COMPRAS!E539</f>
        <v>1200</v>
      </c>
      <c r="G126" s="64"/>
      <c r="H126" s="147">
        <f>+SUM(F126:F128)</f>
        <v>1344</v>
      </c>
      <c r="I126" s="149">
        <f>+SUM(G126:G128)</f>
        <v>1344</v>
      </c>
      <c r="J126" s="151" t="s">
        <v>278</v>
      </c>
    </row>
    <row r="127" spans="1:10" x14ac:dyDescent="0.25">
      <c r="A127" s="142"/>
      <c r="B127" s="145"/>
      <c r="C127" s="145"/>
      <c r="D127" s="59" t="s">
        <v>194</v>
      </c>
      <c r="E127" s="59" t="s">
        <v>56</v>
      </c>
      <c r="F127" s="60">
        <f>+COMPRAS!E540</f>
        <v>144</v>
      </c>
      <c r="G127" s="60"/>
      <c r="H127" s="148"/>
      <c r="I127" s="150"/>
      <c r="J127" s="151"/>
    </row>
    <row r="128" spans="1:10" x14ac:dyDescent="0.25">
      <c r="A128" s="142"/>
      <c r="B128" s="145"/>
      <c r="C128" s="145"/>
      <c r="D128" s="59" t="s">
        <v>85</v>
      </c>
      <c r="E128" s="59"/>
      <c r="F128" s="60"/>
      <c r="G128" s="60">
        <f>+COMPRAS!E541</f>
        <v>1344</v>
      </c>
      <c r="H128" s="148"/>
      <c r="I128" s="150"/>
      <c r="J128" s="151"/>
    </row>
    <row r="129" spans="1:10" x14ac:dyDescent="0.25">
      <c r="A129" s="152">
        <v>37</v>
      </c>
      <c r="B129" s="154">
        <f>+B126</f>
        <v>43502</v>
      </c>
      <c r="C129" s="156" t="str">
        <f>+C126</f>
        <v>FACTURA COMPRA # 20</v>
      </c>
      <c r="D129" s="61" t="s">
        <v>85</v>
      </c>
      <c r="E129" s="61"/>
      <c r="F129" s="62">
        <f>+G128</f>
        <v>1344</v>
      </c>
      <c r="G129" s="62"/>
      <c r="H129" s="158">
        <f>+SUM(F129:F130)</f>
        <v>1344</v>
      </c>
      <c r="I129" s="160">
        <f>+SUM(G129:G130)</f>
        <v>1344</v>
      </c>
      <c r="J129" s="151"/>
    </row>
    <row r="130" spans="1:10" ht="15.75" thickBot="1" x14ac:dyDescent="0.3">
      <c r="A130" s="153"/>
      <c r="B130" s="155"/>
      <c r="C130" s="157"/>
      <c r="D130" s="69" t="str">
        <f>+COMPRAS!C547</f>
        <v>Caja General</v>
      </c>
      <c r="E130" s="65"/>
      <c r="F130" s="66"/>
      <c r="G130" s="66">
        <f>+COMPRAS!C548</f>
        <v>1344</v>
      </c>
      <c r="H130" s="159"/>
      <c r="I130" s="161"/>
      <c r="J130" s="151"/>
    </row>
    <row r="131" spans="1:10" x14ac:dyDescent="0.25">
      <c r="A131" s="141">
        <v>38</v>
      </c>
      <c r="B131" s="143">
        <f>+COMPRAS!C538</f>
        <v>43502</v>
      </c>
      <c r="C131" s="146" t="str">
        <f>+COMPRAS!C551</f>
        <v>FACTURA COMPRA # 21</v>
      </c>
      <c r="D131" s="63" t="str">
        <f>+COMPRAS!P531</f>
        <v>Publicidad y propaganda</v>
      </c>
      <c r="E131" s="63" t="str">
        <f>+COMPRAS!Q531</f>
        <v>5.2.01.02.006</v>
      </c>
      <c r="F131" s="64">
        <f>+COMPRAS!E537+COMPRAS!E538-COMPRAS!E539</f>
        <v>1200</v>
      </c>
      <c r="G131" s="64"/>
      <c r="H131" s="147">
        <f>+SUM(F131:F133)</f>
        <v>1344</v>
      </c>
      <c r="I131" s="149">
        <f>+SUM(G131:G133)</f>
        <v>1344</v>
      </c>
      <c r="J131" s="151" t="s">
        <v>278</v>
      </c>
    </row>
    <row r="132" spans="1:10" x14ac:dyDescent="0.25">
      <c r="A132" s="142"/>
      <c r="B132" s="145"/>
      <c r="C132" s="145"/>
      <c r="D132" s="59" t="s">
        <v>194</v>
      </c>
      <c r="E132" s="59" t="s">
        <v>56</v>
      </c>
      <c r="F132" s="60">
        <f>+COMPRAS!E540</f>
        <v>144</v>
      </c>
      <c r="G132" s="60"/>
      <c r="H132" s="148"/>
      <c r="I132" s="150"/>
      <c r="J132" s="151"/>
    </row>
    <row r="133" spans="1:10" x14ac:dyDescent="0.25">
      <c r="A133" s="142"/>
      <c r="B133" s="145"/>
      <c r="C133" s="145"/>
      <c r="D133" s="59" t="s">
        <v>85</v>
      </c>
      <c r="E133" s="59"/>
      <c r="F133" s="60"/>
      <c r="G133" s="60">
        <f>+COMPRAS!E541</f>
        <v>1344</v>
      </c>
      <c r="H133" s="148"/>
      <c r="I133" s="150"/>
      <c r="J133" s="151"/>
    </row>
    <row r="134" spans="1:10" x14ac:dyDescent="0.25">
      <c r="A134" s="152">
        <v>39</v>
      </c>
      <c r="B134" s="154">
        <f>+B131</f>
        <v>43502</v>
      </c>
      <c r="C134" s="156" t="str">
        <f>+C131</f>
        <v>FACTURA COMPRA # 21</v>
      </c>
      <c r="D134" s="61" t="s">
        <v>85</v>
      </c>
      <c r="E134" s="61"/>
      <c r="F134" s="62">
        <f>+G133</f>
        <v>1344</v>
      </c>
      <c r="G134" s="62"/>
      <c r="H134" s="158">
        <f>+SUM(F134:F135)</f>
        <v>1344</v>
      </c>
      <c r="I134" s="160">
        <f>+SUM(G134:G135)</f>
        <v>660.8</v>
      </c>
      <c r="J134" s="151"/>
    </row>
    <row r="135" spans="1:10" ht="15.75" thickBot="1" x14ac:dyDescent="0.3">
      <c r="A135" s="153"/>
      <c r="B135" s="155"/>
      <c r="C135" s="157"/>
      <c r="D135" s="69" t="str">
        <f>+COMPRAS!C570</f>
        <v>Sociedades Financieras</v>
      </c>
      <c r="E135" s="65"/>
      <c r="F135" s="66"/>
      <c r="G135" s="66">
        <f>+COMPRAS!C571</f>
        <v>660.8</v>
      </c>
      <c r="H135" s="159"/>
      <c r="I135" s="161"/>
      <c r="J135" s="151"/>
    </row>
    <row r="136" spans="1:10" x14ac:dyDescent="0.25">
      <c r="A136" s="141">
        <v>40</v>
      </c>
      <c r="B136" s="143">
        <f>+COMPRAS!C584</f>
        <v>43503</v>
      </c>
      <c r="C136" s="146" t="str">
        <f>+COMPRAS!C574</f>
        <v>FACTURA COMPRA # 22</v>
      </c>
      <c r="D136" s="63" t="str">
        <f>+COMPRAS!P577</f>
        <v>atención al personal</v>
      </c>
      <c r="E136" s="63" t="str">
        <f>+COMPRAS!Q577</f>
        <v>5.2.01.01.012</v>
      </c>
      <c r="F136" s="64">
        <f>+COMPRAS!E583+COMPRAS!E584-COMPRAS!E585</f>
        <v>90</v>
      </c>
      <c r="G136" s="64"/>
      <c r="H136" s="147">
        <f>+SUM(F136:F138)</f>
        <v>100.8</v>
      </c>
      <c r="I136" s="149">
        <f>+SUM(G136:G138)</f>
        <v>100.8</v>
      </c>
      <c r="J136" s="151" t="s">
        <v>278</v>
      </c>
    </row>
    <row r="137" spans="1:10" x14ac:dyDescent="0.25">
      <c r="A137" s="142"/>
      <c r="B137" s="145"/>
      <c r="C137" s="145"/>
      <c r="D137" s="59" t="s">
        <v>194</v>
      </c>
      <c r="E137" s="59" t="s">
        <v>56</v>
      </c>
      <c r="F137" s="60">
        <f>+COMPRAS!E586</f>
        <v>10.799999999999999</v>
      </c>
      <c r="G137" s="60"/>
      <c r="H137" s="148"/>
      <c r="I137" s="150"/>
      <c r="J137" s="151"/>
    </row>
    <row r="138" spans="1:10" x14ac:dyDescent="0.25">
      <c r="A138" s="142"/>
      <c r="B138" s="145"/>
      <c r="C138" s="145"/>
      <c r="D138" s="59" t="s">
        <v>85</v>
      </c>
      <c r="E138" s="59"/>
      <c r="F138" s="60"/>
      <c r="G138" s="60">
        <f>+COMPRAS!E587</f>
        <v>100.8</v>
      </c>
      <c r="H138" s="148"/>
      <c r="I138" s="150"/>
      <c r="J138" s="151"/>
    </row>
    <row r="139" spans="1:10" x14ac:dyDescent="0.25">
      <c r="A139" s="152">
        <v>41</v>
      </c>
      <c r="B139" s="154">
        <f>+B136</f>
        <v>43503</v>
      </c>
      <c r="C139" s="156" t="str">
        <f>+C136</f>
        <v>FACTURA COMPRA # 22</v>
      </c>
      <c r="D139" s="61" t="s">
        <v>85</v>
      </c>
      <c r="E139" s="61"/>
      <c r="F139" s="62">
        <f>+G138</f>
        <v>100.8</v>
      </c>
      <c r="G139" s="62"/>
      <c r="H139" s="158">
        <f>+SUM(F139:F140)</f>
        <v>100.8</v>
      </c>
      <c r="I139" s="160">
        <f>+SUM(G139:G140)</f>
        <v>100.8</v>
      </c>
      <c r="J139" s="151"/>
    </row>
    <row r="140" spans="1:10" ht="15.75" thickBot="1" x14ac:dyDescent="0.3">
      <c r="A140" s="153"/>
      <c r="B140" s="155"/>
      <c r="C140" s="157"/>
      <c r="D140" s="69" t="str">
        <f>+COMPRAS!C593</f>
        <v>Bancos XXX XXXX</v>
      </c>
      <c r="E140" s="65"/>
      <c r="F140" s="66"/>
      <c r="G140" s="66">
        <f>+COMPRAS!C594</f>
        <v>100.8</v>
      </c>
      <c r="H140" s="159"/>
      <c r="I140" s="161"/>
      <c r="J140" s="151"/>
    </row>
    <row r="141" spans="1:10" x14ac:dyDescent="0.25">
      <c r="A141" s="141">
        <v>42</v>
      </c>
      <c r="B141" s="143">
        <f>+COMPRAS!C607</f>
        <v>43503</v>
      </c>
      <c r="C141" s="146" t="str">
        <f>+COMPRAS!C597</f>
        <v>FACTURA COMPRA # 23</v>
      </c>
      <c r="D141" s="63" t="str">
        <f>+COMPRAS!P600</f>
        <v>atención al personal</v>
      </c>
      <c r="E141" s="63" t="str">
        <f>+COMPRAS!Q600</f>
        <v>5.2.01.01.012</v>
      </c>
      <c r="F141" s="64">
        <f>+COMPRAS!E606+COMPRAS!E607-COMPRAS!E608</f>
        <v>90</v>
      </c>
      <c r="G141" s="64"/>
      <c r="H141" s="147">
        <f>+SUM(F141:F143)</f>
        <v>100.8</v>
      </c>
      <c r="I141" s="149">
        <f>+SUM(G141:G143)</f>
        <v>100.8</v>
      </c>
      <c r="J141" s="151" t="s">
        <v>278</v>
      </c>
    </row>
    <row r="142" spans="1:10" x14ac:dyDescent="0.25">
      <c r="A142" s="142"/>
      <c r="B142" s="145"/>
      <c r="C142" s="145"/>
      <c r="D142" s="59" t="s">
        <v>194</v>
      </c>
      <c r="E142" s="59" t="s">
        <v>56</v>
      </c>
      <c r="F142" s="60">
        <f>+COMPRAS!E609</f>
        <v>10.799999999999999</v>
      </c>
      <c r="G142" s="60"/>
      <c r="H142" s="148"/>
      <c r="I142" s="150"/>
      <c r="J142" s="151"/>
    </row>
    <row r="143" spans="1:10" x14ac:dyDescent="0.25">
      <c r="A143" s="142"/>
      <c r="B143" s="145"/>
      <c r="C143" s="145"/>
      <c r="D143" s="59" t="s">
        <v>85</v>
      </c>
      <c r="E143" s="59"/>
      <c r="F143" s="60"/>
      <c r="G143" s="60">
        <f>+COMPRAS!E610</f>
        <v>100.8</v>
      </c>
      <c r="H143" s="148"/>
      <c r="I143" s="150"/>
      <c r="J143" s="151"/>
    </row>
    <row r="144" spans="1:10" x14ac:dyDescent="0.25">
      <c r="A144" s="152">
        <v>43</v>
      </c>
      <c r="B144" s="154">
        <f>+B141</f>
        <v>43503</v>
      </c>
      <c r="C144" s="156" t="str">
        <f>+C141</f>
        <v>FACTURA COMPRA # 23</v>
      </c>
      <c r="D144" s="61" t="s">
        <v>85</v>
      </c>
      <c r="E144" s="61"/>
      <c r="F144" s="62">
        <f>+G143</f>
        <v>100.8</v>
      </c>
      <c r="G144" s="62"/>
      <c r="H144" s="158">
        <f>+SUM(F144:F147)</f>
        <v>100.8</v>
      </c>
      <c r="I144" s="160">
        <f>+SUM(G144:G147)</f>
        <v>100.8</v>
      </c>
      <c r="J144" s="151"/>
    </row>
    <row r="145" spans="1:10" x14ac:dyDescent="0.25">
      <c r="A145" s="152"/>
      <c r="B145" s="154"/>
      <c r="C145" s="156"/>
      <c r="D145" s="70" t="str">
        <f>+COMPRAS!C617</f>
        <v>Bancos XXX XXXX</v>
      </c>
      <c r="E145" s="61"/>
      <c r="F145" s="62"/>
      <c r="G145" s="62">
        <f>+COMPRAS!C618</f>
        <v>30.24</v>
      </c>
      <c r="H145" s="158"/>
      <c r="I145" s="160"/>
      <c r="J145" s="151"/>
    </row>
    <row r="146" spans="1:10" x14ac:dyDescent="0.25">
      <c r="A146" s="152"/>
      <c r="B146" s="154"/>
      <c r="C146" s="156"/>
      <c r="D146" s="70" t="str">
        <f>+COMPRAS!C619</f>
        <v>Bancos XYZ XYZ</v>
      </c>
      <c r="E146" s="61"/>
      <c r="F146" s="62"/>
      <c r="G146" s="62">
        <f>+COMPRAS!C620</f>
        <v>30.24</v>
      </c>
      <c r="H146" s="158"/>
      <c r="I146" s="160"/>
      <c r="J146" s="151"/>
    </row>
    <row r="147" spans="1:10" ht="15.75" thickBot="1" x14ac:dyDescent="0.3">
      <c r="A147" s="153"/>
      <c r="B147" s="155"/>
      <c r="C147" s="157"/>
      <c r="D147" s="69" t="str">
        <f>+COMPRAS!C622</f>
        <v>Caja General</v>
      </c>
      <c r="E147" s="65"/>
      <c r="F147" s="66"/>
      <c r="G147" s="66">
        <f>+COMPRAS!C623</f>
        <v>40.32</v>
      </c>
      <c r="H147" s="159"/>
      <c r="I147" s="161"/>
      <c r="J147" s="151"/>
    </row>
    <row r="148" spans="1:10" x14ac:dyDescent="0.25">
      <c r="A148" s="141">
        <v>44</v>
      </c>
      <c r="B148" s="143">
        <f>+COMPRAS!C636</f>
        <v>43503</v>
      </c>
      <c r="C148" s="146" t="str">
        <f>+COMPRAS!C626</f>
        <v>FACTURA COMPRA # 24</v>
      </c>
      <c r="D148" s="63" t="str">
        <f>+COMPRAS!P629</f>
        <v>atención al personal</v>
      </c>
      <c r="E148" s="63" t="str">
        <f>+COMPRAS!Q629</f>
        <v>5.2.01.01.012</v>
      </c>
      <c r="F148" s="64">
        <f>+COMPRAS!E635+COMPRAS!E636-COMPRAS!E637</f>
        <v>322.92</v>
      </c>
      <c r="G148" s="64"/>
      <c r="H148" s="147">
        <f>+SUM(F148:F150)</f>
        <v>361.67040000000003</v>
      </c>
      <c r="I148" s="149">
        <f>+SUM(G148:G150)</f>
        <v>361.67040000000003</v>
      </c>
      <c r="J148" s="151" t="s">
        <v>278</v>
      </c>
    </row>
    <row r="149" spans="1:10" x14ac:dyDescent="0.25">
      <c r="A149" s="142"/>
      <c r="B149" s="145"/>
      <c r="C149" s="145"/>
      <c r="D149" s="59" t="s">
        <v>194</v>
      </c>
      <c r="E149" s="59" t="s">
        <v>56</v>
      </c>
      <c r="F149" s="60">
        <f>+COMPRAS!E638</f>
        <v>38.750399999999999</v>
      </c>
      <c r="G149" s="60"/>
      <c r="H149" s="148"/>
      <c r="I149" s="150"/>
      <c r="J149" s="151"/>
    </row>
    <row r="150" spans="1:10" x14ac:dyDescent="0.25">
      <c r="A150" s="142"/>
      <c r="B150" s="145"/>
      <c r="C150" s="145"/>
      <c r="D150" s="59" t="s">
        <v>85</v>
      </c>
      <c r="E150" s="59"/>
      <c r="F150" s="60"/>
      <c r="G150" s="60">
        <f>+COMPRAS!E639</f>
        <v>361.67040000000003</v>
      </c>
      <c r="H150" s="148"/>
      <c r="I150" s="150"/>
      <c r="J150" s="151"/>
    </row>
    <row r="151" spans="1:10" x14ac:dyDescent="0.25">
      <c r="A151" s="152">
        <v>45</v>
      </c>
      <c r="B151" s="154">
        <f>+B148</f>
        <v>43503</v>
      </c>
      <c r="C151" s="156" t="str">
        <f>+C148</f>
        <v>FACTURA COMPRA # 24</v>
      </c>
      <c r="D151" s="61" t="s">
        <v>85</v>
      </c>
      <c r="E151" s="61"/>
      <c r="F151" s="62">
        <f>+COMPRAS!C646</f>
        <v>217.00224</v>
      </c>
      <c r="G151" s="62"/>
      <c r="H151" s="158">
        <f>+SUM(F151:F152)</f>
        <v>217.00224</v>
      </c>
      <c r="I151" s="160">
        <f>+SUM(G151:G152)</f>
        <v>217.00224</v>
      </c>
      <c r="J151" s="151"/>
    </row>
    <row r="152" spans="1:10" ht="15.75" thickBot="1" x14ac:dyDescent="0.3">
      <c r="A152" s="153"/>
      <c r="B152" s="155"/>
      <c r="C152" s="157"/>
      <c r="D152" s="69" t="str">
        <f>+COMPRAS!C645</f>
        <v>Bancos XXX XXXX</v>
      </c>
      <c r="E152" s="65"/>
      <c r="F152" s="66"/>
      <c r="G152" s="66">
        <f>+COMPRAS!C646</f>
        <v>217.00224</v>
      </c>
      <c r="H152" s="159"/>
      <c r="I152" s="161"/>
      <c r="J152" s="151"/>
    </row>
    <row r="153" spans="1:10" ht="15" customHeight="1" x14ac:dyDescent="0.25">
      <c r="A153" s="141">
        <v>46</v>
      </c>
      <c r="B153" s="143">
        <f>+COMPRAS!C690</f>
        <v>43504</v>
      </c>
      <c r="C153" s="146" t="str">
        <f>+COMPRAS!C652</f>
        <v>FACTURA COMPRA # 25</v>
      </c>
      <c r="D153" s="63" t="s">
        <v>69</v>
      </c>
      <c r="E153" s="63" t="s">
        <v>46</v>
      </c>
      <c r="F153" s="64">
        <f>+COMPRAS!J655+COMPRAS!J656+COMPRAS!J657+COMPRAS!J658</f>
        <v>424.4316</v>
      </c>
      <c r="G153" s="64"/>
      <c r="H153" s="147">
        <f>+SUM(F153:F158)</f>
        <v>755.36339199999998</v>
      </c>
      <c r="I153" s="149">
        <f>+SUM(G153:G158)</f>
        <v>755.36339199999998</v>
      </c>
      <c r="J153" s="151" t="s">
        <v>278</v>
      </c>
    </row>
    <row r="154" spans="1:10" x14ac:dyDescent="0.25">
      <c r="A154" s="142"/>
      <c r="B154" s="144"/>
      <c r="C154" s="145"/>
      <c r="D154" s="59" t="str">
        <f>+COMPRAS!P659</f>
        <v>ARRIENDO</v>
      </c>
      <c r="E154" s="59" t="str">
        <f>+COMPRAS!Q659</f>
        <v>5.2.01.02.014</v>
      </c>
      <c r="F154" s="60">
        <f>+COMPRAS!J659</f>
        <v>250</v>
      </c>
      <c r="G154" s="60"/>
      <c r="H154" s="148"/>
      <c r="I154" s="150"/>
      <c r="J154" s="151"/>
    </row>
    <row r="155" spans="1:10" x14ac:dyDescent="0.25">
      <c r="A155" s="142"/>
      <c r="B155" s="145"/>
      <c r="C155" s="145"/>
      <c r="D155" s="59" t="s">
        <v>194</v>
      </c>
      <c r="E155" s="59" t="s">
        <v>56</v>
      </c>
      <c r="F155" s="60">
        <f>+COMPRAS!E664</f>
        <v>80.931792000000002</v>
      </c>
      <c r="G155" s="60"/>
      <c r="H155" s="148"/>
      <c r="I155" s="150"/>
      <c r="J155" s="151"/>
    </row>
    <row r="156" spans="1:10" x14ac:dyDescent="0.25">
      <c r="A156" s="142"/>
      <c r="B156" s="145"/>
      <c r="C156" s="145"/>
      <c r="D156" s="59" t="str">
        <f>+COMPRAS!E670</f>
        <v>Retencion IVA por pagar 100%</v>
      </c>
      <c r="E156" s="59" t="str">
        <f>+COMPRAS!D670</f>
        <v>2.1.01.07.006</v>
      </c>
      <c r="F156" s="60"/>
      <c r="G156" s="60">
        <f>+COMPRAS!L670</f>
        <v>80.931792000000002</v>
      </c>
      <c r="H156" s="148"/>
      <c r="I156" s="150"/>
      <c r="J156" s="151"/>
    </row>
    <row r="157" spans="1:10" x14ac:dyDescent="0.25">
      <c r="A157" s="142"/>
      <c r="B157" s="145"/>
      <c r="C157" s="145"/>
      <c r="D157" s="59" t="str">
        <f>+COMPRAS!E671</f>
        <v>Impuesto a la renta por pagar 1%</v>
      </c>
      <c r="E157" s="59" t="str">
        <f>+COMPRAS!D671</f>
        <v>2.1.01.06.001</v>
      </c>
      <c r="F157" s="60"/>
      <c r="G157" s="60">
        <f>+COMPRAS!L671</f>
        <v>6.7443160000000004</v>
      </c>
      <c r="H157" s="148"/>
      <c r="I157" s="150"/>
      <c r="J157" s="151"/>
    </row>
    <row r="158" spans="1:10" ht="15.75" thickBot="1" x14ac:dyDescent="0.3">
      <c r="A158" s="162"/>
      <c r="B158" s="163"/>
      <c r="C158" s="163"/>
      <c r="D158" s="67" t="s">
        <v>85</v>
      </c>
      <c r="E158" s="67"/>
      <c r="F158" s="68"/>
      <c r="G158" s="68">
        <f>+COMPRAS!N670</f>
        <v>667.68728399999998</v>
      </c>
      <c r="H158" s="164"/>
      <c r="I158" s="165"/>
      <c r="J158" s="151"/>
    </row>
    <row r="159" spans="1:10" x14ac:dyDescent="0.25">
      <c r="A159" s="141">
        <v>47</v>
      </c>
      <c r="B159" s="143">
        <f>+COMPRAS!C690</f>
        <v>43504</v>
      </c>
      <c r="C159" s="146" t="str">
        <f>+COMPRAS!C680</f>
        <v>FACTURA COMPRA # 26</v>
      </c>
      <c r="D159" s="63" t="s">
        <v>69</v>
      </c>
      <c r="E159" s="63" t="s">
        <v>46</v>
      </c>
      <c r="F159" s="64">
        <f>+COMPRAS!J655+COMPRAS!J656+COMPRAS!J657+COMPRAS!J658</f>
        <v>424.4316</v>
      </c>
      <c r="G159" s="64"/>
      <c r="H159" s="147">
        <f>+SUM(F159:F164)</f>
        <v>755.36339199999998</v>
      </c>
      <c r="I159" s="149">
        <f>+SUM(G159:G164)</f>
        <v>755.36339199999998</v>
      </c>
      <c r="J159" s="151" t="s">
        <v>278</v>
      </c>
    </row>
    <row r="160" spans="1:10" x14ac:dyDescent="0.25">
      <c r="A160" s="142"/>
      <c r="B160" s="144"/>
      <c r="C160" s="145"/>
      <c r="D160" s="59" t="str">
        <f>+COMPRAS!P659</f>
        <v>ARRIENDO</v>
      </c>
      <c r="E160" s="59" t="str">
        <f>+COMPRAS!Q659</f>
        <v>5.2.01.02.014</v>
      </c>
      <c r="F160" s="60">
        <f>+COMPRAS!J659</f>
        <v>250</v>
      </c>
      <c r="G160" s="60"/>
      <c r="H160" s="148"/>
      <c r="I160" s="150"/>
      <c r="J160" s="151"/>
    </row>
    <row r="161" spans="1:10" x14ac:dyDescent="0.25">
      <c r="A161" s="142"/>
      <c r="B161" s="145"/>
      <c r="C161" s="145"/>
      <c r="D161" s="59" t="s">
        <v>194</v>
      </c>
      <c r="E161" s="59" t="s">
        <v>56</v>
      </c>
      <c r="F161" s="60">
        <f>+COMPRAS!E664</f>
        <v>80.931792000000002</v>
      </c>
      <c r="G161" s="60"/>
      <c r="H161" s="148"/>
      <c r="I161" s="150"/>
      <c r="J161" s="151"/>
    </row>
    <row r="162" spans="1:10" x14ac:dyDescent="0.25">
      <c r="A162" s="142"/>
      <c r="B162" s="145"/>
      <c r="C162" s="145"/>
      <c r="D162" s="59" t="str">
        <f>+COMPRAS!E670</f>
        <v>Retencion IVA por pagar 100%</v>
      </c>
      <c r="E162" s="59" t="str">
        <f>+COMPRAS!D670</f>
        <v>2.1.01.07.006</v>
      </c>
      <c r="F162" s="60"/>
      <c r="G162" s="60">
        <f>+COMPRAS!L698</f>
        <v>24.279537600000001</v>
      </c>
      <c r="H162" s="148"/>
      <c r="I162" s="150"/>
      <c r="J162" s="151"/>
    </row>
    <row r="163" spans="1:10" x14ac:dyDescent="0.25">
      <c r="A163" s="142"/>
      <c r="B163" s="145"/>
      <c r="C163" s="145"/>
      <c r="D163" s="59" t="str">
        <f>+COMPRAS!E671</f>
        <v>Impuesto a la renta por pagar 1%</v>
      </c>
      <c r="E163" s="59" t="str">
        <f>+COMPRAS!D671</f>
        <v>2.1.01.06.001</v>
      </c>
      <c r="F163" s="60"/>
      <c r="G163" s="60">
        <f>+COMPRAS!L699</f>
        <v>53.954528000000003</v>
      </c>
      <c r="H163" s="148"/>
      <c r="I163" s="150"/>
      <c r="J163" s="151"/>
    </row>
    <row r="164" spans="1:10" x14ac:dyDescent="0.25">
      <c r="A164" s="142"/>
      <c r="B164" s="145"/>
      <c r="C164" s="145"/>
      <c r="D164" s="59" t="s">
        <v>85</v>
      </c>
      <c r="E164" s="59"/>
      <c r="F164" s="60"/>
      <c r="G164" s="60">
        <f>+COMPRAS!N698</f>
        <v>677.12932639999997</v>
      </c>
      <c r="H164" s="148"/>
      <c r="I164" s="150"/>
      <c r="J164" s="151"/>
    </row>
    <row r="165" spans="1:10" x14ac:dyDescent="0.25">
      <c r="A165" s="152">
        <v>48</v>
      </c>
      <c r="B165" s="154">
        <f>+B159</f>
        <v>43504</v>
      </c>
      <c r="C165" s="156" t="str">
        <f>+C159</f>
        <v>FACTURA COMPRA # 26</v>
      </c>
      <c r="D165" s="61" t="s">
        <v>85</v>
      </c>
      <c r="E165" s="61"/>
      <c r="F165" s="62">
        <f>+G164</f>
        <v>677.12932639999997</v>
      </c>
      <c r="G165" s="62"/>
      <c r="H165" s="158">
        <f>+SUM(F165:F166)</f>
        <v>677.12932639999997</v>
      </c>
      <c r="I165" s="160">
        <f>+SUM(G165:G166)</f>
        <v>677.12932639999997</v>
      </c>
      <c r="J165" s="151"/>
    </row>
    <row r="166" spans="1:10" ht="15.75" thickBot="1" x14ac:dyDescent="0.3">
      <c r="A166" s="153"/>
      <c r="B166" s="155"/>
      <c r="C166" s="157"/>
      <c r="D166" s="69" t="str">
        <f>+COMPRAS!C704</f>
        <v>Caja General</v>
      </c>
      <c r="E166" s="65"/>
      <c r="F166" s="66"/>
      <c r="G166" s="66">
        <f>+COMPRAS!C705</f>
        <v>677.12932639999997</v>
      </c>
      <c r="H166" s="159"/>
      <c r="I166" s="161"/>
      <c r="J166" s="151"/>
    </row>
    <row r="167" spans="1:10" x14ac:dyDescent="0.25">
      <c r="A167" s="141">
        <v>49</v>
      </c>
      <c r="B167" s="143">
        <f>+COMPRAS!C718</f>
        <v>43504</v>
      </c>
      <c r="C167" s="146" t="str">
        <f>+COMPRAS!C708</f>
        <v>FACTURA COMPRA # 27</v>
      </c>
      <c r="D167" s="63" t="s">
        <v>69</v>
      </c>
      <c r="E167" s="63" t="s">
        <v>46</v>
      </c>
      <c r="F167" s="64">
        <f>+COMPRAS!J655+COMPRAS!J656+COMPRAS!J657+COMPRAS!J658</f>
        <v>424.4316</v>
      </c>
      <c r="G167" s="64"/>
      <c r="H167" s="147">
        <f>+SUM(F167:F172)</f>
        <v>755.36339199999998</v>
      </c>
      <c r="I167" s="149">
        <f>+SUM(G167:G172)</f>
        <v>755.36339199999998</v>
      </c>
      <c r="J167" s="151" t="s">
        <v>278</v>
      </c>
    </row>
    <row r="168" spans="1:10" x14ac:dyDescent="0.25">
      <c r="A168" s="142"/>
      <c r="B168" s="144"/>
      <c r="C168" s="145"/>
      <c r="D168" s="59" t="str">
        <f>+COMPRAS!P659</f>
        <v>ARRIENDO</v>
      </c>
      <c r="E168" s="59" t="str">
        <f>+COMPRAS!Q659</f>
        <v>5.2.01.02.014</v>
      </c>
      <c r="F168" s="60">
        <f>+COMPRAS!J659</f>
        <v>250</v>
      </c>
      <c r="G168" s="60"/>
      <c r="H168" s="148"/>
      <c r="I168" s="150"/>
      <c r="J168" s="151"/>
    </row>
    <row r="169" spans="1:10" x14ac:dyDescent="0.25">
      <c r="A169" s="142"/>
      <c r="B169" s="145"/>
      <c r="C169" s="145"/>
      <c r="D169" s="59" t="s">
        <v>194</v>
      </c>
      <c r="E169" s="59" t="s">
        <v>56</v>
      </c>
      <c r="F169" s="60">
        <f>+COMPRAS!E664</f>
        <v>80.931792000000002</v>
      </c>
      <c r="G169" s="60"/>
      <c r="H169" s="148"/>
      <c r="I169" s="150"/>
      <c r="J169" s="151"/>
    </row>
    <row r="170" spans="1:10" x14ac:dyDescent="0.25">
      <c r="A170" s="142"/>
      <c r="B170" s="145"/>
      <c r="C170" s="145"/>
      <c r="D170" s="59" t="str">
        <f>+COMPRAS!E726</f>
        <v>Retencion IVA por pagar 50%</v>
      </c>
      <c r="E170" s="59" t="str">
        <f>+COMPRAS!D726</f>
        <v>2.1.01.07.004</v>
      </c>
      <c r="F170" s="60"/>
      <c r="G170" s="60">
        <f>+COMPRAS!L726</f>
        <v>40.465896000000001</v>
      </c>
      <c r="H170" s="148"/>
      <c r="I170" s="150"/>
      <c r="J170" s="151"/>
    </row>
    <row r="171" spans="1:10" x14ac:dyDescent="0.25">
      <c r="A171" s="142"/>
      <c r="B171" s="145"/>
      <c r="C171" s="145"/>
      <c r="D171" s="59" t="str">
        <f>+COMPRAS!E727</f>
        <v>Impuesto a la renta por pagar 2%</v>
      </c>
      <c r="E171" s="59" t="str">
        <f>+COMPRAS!D727</f>
        <v>2.1.01.06.002</v>
      </c>
      <c r="F171" s="60"/>
      <c r="G171" s="60">
        <f>+COMPRAS!L727</f>
        <v>13.488632000000001</v>
      </c>
      <c r="H171" s="148"/>
      <c r="I171" s="150"/>
      <c r="J171" s="151"/>
    </row>
    <row r="172" spans="1:10" x14ac:dyDescent="0.25">
      <c r="A172" s="142"/>
      <c r="B172" s="145"/>
      <c r="C172" s="145"/>
      <c r="D172" s="59" t="s">
        <v>85</v>
      </c>
      <c r="E172" s="59"/>
      <c r="F172" s="60"/>
      <c r="G172" s="60">
        <f>+COMPRAS!N726</f>
        <v>701.40886399999999</v>
      </c>
      <c r="H172" s="148"/>
      <c r="I172" s="150"/>
      <c r="J172" s="151"/>
    </row>
    <row r="173" spans="1:10" x14ac:dyDescent="0.25">
      <c r="A173" s="152">
        <v>50</v>
      </c>
      <c r="B173" s="154">
        <f>+B167</f>
        <v>43504</v>
      </c>
      <c r="C173" s="156" t="str">
        <f>+C167</f>
        <v>FACTURA COMPRA # 27</v>
      </c>
      <c r="D173" s="61" t="s">
        <v>85</v>
      </c>
      <c r="E173" s="61"/>
      <c r="F173" s="62">
        <f>+G172</f>
        <v>701.40886399999999</v>
      </c>
      <c r="G173" s="62"/>
      <c r="H173" s="158">
        <f>+SUM(F173:F174)</f>
        <v>701.40886399999999</v>
      </c>
      <c r="I173" s="160">
        <f>+SUM(G173:G174)</f>
        <v>701.40886399999999</v>
      </c>
      <c r="J173" s="151"/>
    </row>
    <row r="174" spans="1:10" ht="15.75" thickBot="1" x14ac:dyDescent="0.3">
      <c r="A174" s="153"/>
      <c r="B174" s="155"/>
      <c r="C174" s="157"/>
      <c r="D174" s="69" t="str">
        <f>+COMPRAS!C732</f>
        <v>Sociedades Financieras</v>
      </c>
      <c r="E174" s="65"/>
      <c r="F174" s="66"/>
      <c r="G174" s="66">
        <f>+COMPRAS!C733</f>
        <v>701.40886399999999</v>
      </c>
      <c r="H174" s="159"/>
      <c r="I174" s="161"/>
      <c r="J174" s="151"/>
    </row>
    <row r="175" spans="1:10" x14ac:dyDescent="0.25">
      <c r="A175" s="141">
        <v>51</v>
      </c>
      <c r="B175" s="143">
        <f>+COMPRAS!C746</f>
        <v>43505</v>
      </c>
      <c r="C175" s="146" t="str">
        <f>+COMPRAS!C736</f>
        <v>FACTURA COMPRA # 28</v>
      </c>
      <c r="D175" s="63" t="s">
        <v>69</v>
      </c>
      <c r="E175" s="63" t="s">
        <v>46</v>
      </c>
      <c r="F175" s="64">
        <f>+COMPRAS!J739+COMPRAS!J740+COMPRAS!J741+COMPRAS!J742</f>
        <v>1180.8087</v>
      </c>
      <c r="G175" s="64"/>
      <c r="H175" s="147">
        <f>+SUM(F175:F180)</f>
        <v>1748.105744</v>
      </c>
      <c r="I175" s="149">
        <f>+SUM(G175:G180)</f>
        <v>1748.105744</v>
      </c>
      <c r="J175" s="151" t="s">
        <v>278</v>
      </c>
    </row>
    <row r="176" spans="1:10" x14ac:dyDescent="0.25">
      <c r="A176" s="142"/>
      <c r="B176" s="144"/>
      <c r="C176" s="145"/>
      <c r="D176" s="59" t="str">
        <f>+COMPRAS!P743</f>
        <v>Mantenimiento edificios</v>
      </c>
      <c r="E176" s="59" t="str">
        <f>+COMPRAS!Q743</f>
        <v>5.1.02.07.004</v>
      </c>
      <c r="F176" s="60">
        <f>+COMPRAS!J743</f>
        <v>380</v>
      </c>
      <c r="G176" s="60"/>
      <c r="H176" s="148"/>
      <c r="I176" s="150"/>
      <c r="J176" s="151"/>
    </row>
    <row r="177" spans="1:10" x14ac:dyDescent="0.25">
      <c r="A177" s="142"/>
      <c r="B177" s="145"/>
      <c r="C177" s="145"/>
      <c r="D177" s="59" t="s">
        <v>194</v>
      </c>
      <c r="E177" s="59" t="s">
        <v>56</v>
      </c>
      <c r="F177" s="60">
        <f>+COMPRAS!E748</f>
        <v>187.297044</v>
      </c>
      <c r="G177" s="60"/>
      <c r="H177" s="148"/>
      <c r="I177" s="150"/>
      <c r="J177" s="151"/>
    </row>
    <row r="178" spans="1:10" x14ac:dyDescent="0.25">
      <c r="A178" s="142"/>
      <c r="B178" s="145"/>
      <c r="C178" s="145"/>
      <c r="D178" s="59" t="str">
        <f>+COMPRAS!E754</f>
        <v>Retencion IVA por pagar 70%</v>
      </c>
      <c r="E178" s="59" t="str">
        <f>+COMPRAS!D754</f>
        <v>2.1.01.07.005</v>
      </c>
      <c r="F178" s="60"/>
      <c r="G178" s="60">
        <f>+COMPRAS!L754</f>
        <v>131.10793079999999</v>
      </c>
      <c r="H178" s="148"/>
      <c r="I178" s="150"/>
      <c r="J178" s="151"/>
    </row>
    <row r="179" spans="1:10" x14ac:dyDescent="0.25">
      <c r="A179" s="142"/>
      <c r="B179" s="145"/>
      <c r="C179" s="145"/>
      <c r="D179" s="59" t="str">
        <f>+COMPRAS!E755</f>
        <v>Impuesto a la renta por pagar 1%</v>
      </c>
      <c r="E179" s="59" t="str">
        <f>+COMPRAS!D755</f>
        <v>2.1.01.06.001</v>
      </c>
      <c r="F179" s="60"/>
      <c r="G179" s="60">
        <f>+COMPRAS!L755</f>
        <v>15.608087000000001</v>
      </c>
      <c r="H179" s="148"/>
      <c r="I179" s="150"/>
      <c r="J179" s="151"/>
    </row>
    <row r="180" spans="1:10" x14ac:dyDescent="0.25">
      <c r="A180" s="142"/>
      <c r="B180" s="145"/>
      <c r="C180" s="145"/>
      <c r="D180" s="59" t="s">
        <v>85</v>
      </c>
      <c r="E180" s="59"/>
      <c r="F180" s="60"/>
      <c r="G180" s="60">
        <f>+COMPRAS!N754</f>
        <v>1601.3897262</v>
      </c>
      <c r="H180" s="148"/>
      <c r="I180" s="150"/>
      <c r="J180" s="151"/>
    </row>
    <row r="181" spans="1:10" x14ac:dyDescent="0.25">
      <c r="A181" s="152">
        <v>52</v>
      </c>
      <c r="B181" s="154">
        <f>+B175</f>
        <v>43505</v>
      </c>
      <c r="C181" s="156" t="str">
        <f>+C175</f>
        <v>FACTURA COMPRA # 28</v>
      </c>
      <c r="D181" s="61" t="s">
        <v>85</v>
      </c>
      <c r="E181" s="61"/>
      <c r="F181" s="62">
        <f>+G180</f>
        <v>1601.3897262</v>
      </c>
      <c r="G181" s="62"/>
      <c r="H181" s="158">
        <f>+SUM(F181:F182)</f>
        <v>1601.3897262</v>
      </c>
      <c r="I181" s="160">
        <f>+SUM(G181:G182)</f>
        <v>1601.3897262</v>
      </c>
      <c r="J181" s="151"/>
    </row>
    <row r="182" spans="1:10" ht="15.75" thickBot="1" x14ac:dyDescent="0.3">
      <c r="A182" s="153"/>
      <c r="B182" s="155"/>
      <c r="C182" s="157"/>
      <c r="D182" s="69" t="str">
        <f>+COMPRAS!C760</f>
        <v>Bancos XXX XXXX</v>
      </c>
      <c r="E182" s="65"/>
      <c r="F182" s="66"/>
      <c r="G182" s="66">
        <f>+COMPRAS!C761</f>
        <v>1601.3897262</v>
      </c>
      <c r="H182" s="159"/>
      <c r="I182" s="161"/>
      <c r="J182" s="151"/>
    </row>
    <row r="183" spans="1:10" ht="15" customHeight="1" x14ac:dyDescent="0.25">
      <c r="A183" s="141">
        <v>53</v>
      </c>
      <c r="B183" s="143">
        <f>+COMPRAS!C774</f>
        <v>43505</v>
      </c>
      <c r="C183" s="146" t="str">
        <f>+COMPRAS!C764</f>
        <v>FACTURA COMPRA # 29</v>
      </c>
      <c r="D183" s="63" t="s">
        <v>69</v>
      </c>
      <c r="E183" s="63" t="s">
        <v>46</v>
      </c>
      <c r="F183" s="64">
        <f>+COMPRAS!J767+COMPRAS!J768+COMPRAS!J769+COMPRAS!J770</f>
        <v>1180.8087</v>
      </c>
      <c r="G183" s="64"/>
      <c r="H183" s="147">
        <f>+SUM(F183:F188)</f>
        <v>1748.105744</v>
      </c>
      <c r="I183" s="149">
        <f>+SUM(G183:G188)</f>
        <v>1748.105744</v>
      </c>
      <c r="J183" s="151" t="s">
        <v>278</v>
      </c>
    </row>
    <row r="184" spans="1:10" x14ac:dyDescent="0.25">
      <c r="A184" s="142"/>
      <c r="B184" s="144"/>
      <c r="C184" s="145"/>
      <c r="D184" s="59" t="str">
        <f>+COMPRAS!P743</f>
        <v>Mantenimiento edificios</v>
      </c>
      <c r="E184" s="59" t="str">
        <f>+COMPRAS!Q743</f>
        <v>5.1.02.07.004</v>
      </c>
      <c r="F184" s="60">
        <f>+COMPRAS!J771</f>
        <v>380</v>
      </c>
      <c r="G184" s="60"/>
      <c r="H184" s="148"/>
      <c r="I184" s="150"/>
      <c r="J184" s="151"/>
    </row>
    <row r="185" spans="1:10" x14ac:dyDescent="0.25">
      <c r="A185" s="142"/>
      <c r="B185" s="145"/>
      <c r="C185" s="145"/>
      <c r="D185" s="59" t="s">
        <v>194</v>
      </c>
      <c r="E185" s="59" t="s">
        <v>56</v>
      </c>
      <c r="F185" s="60">
        <f>+COMPRAS!E776</f>
        <v>187.297044</v>
      </c>
      <c r="G185" s="60"/>
      <c r="H185" s="148"/>
      <c r="I185" s="150"/>
      <c r="J185" s="151"/>
    </row>
    <row r="186" spans="1:10" x14ac:dyDescent="0.25">
      <c r="A186" s="142"/>
      <c r="B186" s="145"/>
      <c r="C186" s="145"/>
      <c r="D186" s="59" t="str">
        <f>+COMPRAS!E782</f>
        <v>Retencion IVA por pagar 10%</v>
      </c>
      <c r="E186" s="59" t="str">
        <f>+COMPRAS!D782</f>
        <v>2.1.01.07.001</v>
      </c>
      <c r="F186" s="60"/>
      <c r="G186" s="60">
        <f>+COMPRAS!L782</f>
        <v>18.729704399999999</v>
      </c>
      <c r="H186" s="148"/>
      <c r="I186" s="150"/>
      <c r="J186" s="151"/>
    </row>
    <row r="187" spans="1:10" x14ac:dyDescent="0.25">
      <c r="A187" s="142"/>
      <c r="B187" s="145"/>
      <c r="C187" s="145"/>
      <c r="D187" s="59" t="str">
        <f>+COMPRAS!E783</f>
        <v>Impuesto a la renta por pagar 8%</v>
      </c>
      <c r="E187" s="59" t="str">
        <f>+COMPRAS!D783</f>
        <v>2.1.01.06.003</v>
      </c>
      <c r="F187" s="60"/>
      <c r="G187" s="60">
        <f>+COMPRAS!L783</f>
        <v>124.86469600000001</v>
      </c>
      <c r="H187" s="148"/>
      <c r="I187" s="150"/>
      <c r="J187" s="151"/>
    </row>
    <row r="188" spans="1:10" x14ac:dyDescent="0.25">
      <c r="A188" s="142"/>
      <c r="B188" s="145"/>
      <c r="C188" s="145"/>
      <c r="D188" s="59" t="s">
        <v>85</v>
      </c>
      <c r="E188" s="59"/>
      <c r="F188" s="60"/>
      <c r="G188" s="60">
        <f>+COMPRAS!N782</f>
        <v>1604.5113435999999</v>
      </c>
      <c r="H188" s="148"/>
      <c r="I188" s="150"/>
      <c r="J188" s="151"/>
    </row>
    <row r="189" spans="1:10" x14ac:dyDescent="0.25">
      <c r="A189" s="152">
        <v>54</v>
      </c>
      <c r="B189" s="154">
        <f>+B183</f>
        <v>43505</v>
      </c>
      <c r="C189" s="156" t="str">
        <f>+C183</f>
        <v>FACTURA COMPRA # 29</v>
      </c>
      <c r="D189" s="61" t="s">
        <v>85</v>
      </c>
      <c r="E189" s="61"/>
      <c r="F189" s="62">
        <f>+G188</f>
        <v>1604.5113435999999</v>
      </c>
      <c r="G189" s="62"/>
      <c r="H189" s="158">
        <f>+SUM(F189:F192)</f>
        <v>1604.5113435999999</v>
      </c>
      <c r="I189" s="160">
        <f>+SUM(G189:G192)</f>
        <v>1604.5113435999999</v>
      </c>
      <c r="J189" s="151"/>
    </row>
    <row r="190" spans="1:10" x14ac:dyDescent="0.25">
      <c r="A190" s="152"/>
      <c r="B190" s="154"/>
      <c r="C190" s="156"/>
      <c r="D190" s="70" t="str">
        <f>+COMPRAS!C788</f>
        <v>Bancos XXX XXXX</v>
      </c>
      <c r="E190" s="61"/>
      <c r="F190" s="62"/>
      <c r="G190" s="62">
        <f>+COMPRAS!C789</f>
        <v>481.35340307999996</v>
      </c>
      <c r="H190" s="158"/>
      <c r="I190" s="160"/>
      <c r="J190" s="151"/>
    </row>
    <row r="191" spans="1:10" x14ac:dyDescent="0.25">
      <c r="A191" s="152"/>
      <c r="B191" s="154"/>
      <c r="C191" s="156"/>
      <c r="D191" s="70" t="str">
        <f>+COMPRAS!C790</f>
        <v>Bancos XYZ XYZ</v>
      </c>
      <c r="E191" s="61"/>
      <c r="F191" s="62"/>
      <c r="G191" s="62">
        <f>+COMPRAS!C791</f>
        <v>481.35340307999996</v>
      </c>
      <c r="H191" s="158"/>
      <c r="I191" s="160"/>
      <c r="J191" s="151"/>
    </row>
    <row r="192" spans="1:10" ht="15.75" thickBot="1" x14ac:dyDescent="0.3">
      <c r="A192" s="153"/>
      <c r="B192" s="155"/>
      <c r="C192" s="157"/>
      <c r="D192" s="69" t="str">
        <f>+COMPRAS!C793</f>
        <v>Caja General</v>
      </c>
      <c r="E192" s="65"/>
      <c r="F192" s="66"/>
      <c r="G192" s="66">
        <f>+COMPRAS!C794</f>
        <v>641.80453743999999</v>
      </c>
      <c r="H192" s="159"/>
      <c r="I192" s="161"/>
      <c r="J192" s="151"/>
    </row>
    <row r="193" spans="1:11" ht="15" customHeight="1" x14ac:dyDescent="0.25">
      <c r="A193" s="141">
        <v>55</v>
      </c>
      <c r="B193" s="143">
        <f>+COMPRAS!C807</f>
        <v>43505</v>
      </c>
      <c r="C193" s="146" t="str">
        <f>+COMPRAS!C797</f>
        <v>FACTURA COMPRA # 30</v>
      </c>
      <c r="D193" s="63" t="s">
        <v>69</v>
      </c>
      <c r="E193" s="63" t="s">
        <v>46</v>
      </c>
      <c r="F193" s="64">
        <f>+COMPRAS!J800+COMPRAS!J801+COMPRAS!J802+COMPRAS!J803</f>
        <v>1180.8087</v>
      </c>
      <c r="G193" s="64"/>
      <c r="H193" s="147">
        <f>+SUM(F193:F198)</f>
        <v>1748.105744</v>
      </c>
      <c r="I193" s="149">
        <f>+SUM(G193:G198)</f>
        <v>1748.105744</v>
      </c>
      <c r="J193" s="151" t="s">
        <v>278</v>
      </c>
    </row>
    <row r="194" spans="1:11" x14ac:dyDescent="0.25">
      <c r="A194" s="142"/>
      <c r="B194" s="144"/>
      <c r="C194" s="145"/>
      <c r="D194" s="59" t="str">
        <f>+COMPRAS!P743</f>
        <v>Mantenimiento edificios</v>
      </c>
      <c r="E194" s="59" t="str">
        <f>+COMPRAS!Q743</f>
        <v>5.1.02.07.004</v>
      </c>
      <c r="F194" s="60">
        <f>+COMPRAS!J804</f>
        <v>380</v>
      </c>
      <c r="G194" s="60"/>
      <c r="H194" s="148"/>
      <c r="I194" s="150"/>
      <c r="J194" s="151"/>
    </row>
    <row r="195" spans="1:11" x14ac:dyDescent="0.25">
      <c r="A195" s="142"/>
      <c r="B195" s="145"/>
      <c r="C195" s="145"/>
      <c r="D195" s="59" t="s">
        <v>194</v>
      </c>
      <c r="E195" s="59" t="s">
        <v>56</v>
      </c>
      <c r="F195" s="60">
        <f>+COMPRAS!E809</f>
        <v>187.297044</v>
      </c>
      <c r="G195" s="60"/>
      <c r="H195" s="148"/>
      <c r="I195" s="150"/>
      <c r="J195" s="151"/>
    </row>
    <row r="196" spans="1:11" x14ac:dyDescent="0.25">
      <c r="A196" s="142"/>
      <c r="B196" s="145"/>
      <c r="C196" s="145"/>
      <c r="D196" s="59" t="str">
        <f>+COMPRAS!E815</f>
        <v>Retencion IVA por pagar 20%</v>
      </c>
      <c r="E196" s="59" t="str">
        <f>+COMPRAS!D815</f>
        <v>2.1.01.07.002</v>
      </c>
      <c r="F196" s="60"/>
      <c r="G196" s="60">
        <f>+COMPRAS!L815</f>
        <v>37.459408799999999</v>
      </c>
      <c r="H196" s="148"/>
      <c r="I196" s="150"/>
      <c r="J196" s="151"/>
    </row>
    <row r="197" spans="1:11" x14ac:dyDescent="0.25">
      <c r="A197" s="142"/>
      <c r="B197" s="145"/>
      <c r="C197" s="145"/>
      <c r="D197" s="59" t="str">
        <f>+COMPRAS!E816</f>
        <v>Impuesto a la renta por pagar 2%</v>
      </c>
      <c r="E197" s="59" t="str">
        <f>+COMPRAS!D816</f>
        <v>2.1.01.06.002</v>
      </c>
      <c r="F197" s="60"/>
      <c r="G197" s="60">
        <f>+COMPRAS!L816</f>
        <v>31.216174000000002</v>
      </c>
      <c r="H197" s="148"/>
      <c r="I197" s="150"/>
      <c r="J197" s="151"/>
    </row>
    <row r="198" spans="1:11" x14ac:dyDescent="0.25">
      <c r="A198" s="142"/>
      <c r="B198" s="145"/>
      <c r="C198" s="145"/>
      <c r="D198" s="59" t="s">
        <v>85</v>
      </c>
      <c r="E198" s="59"/>
      <c r="F198" s="60"/>
      <c r="G198" s="60">
        <f>+COMPRAS!N815</f>
        <v>1679.4301611999999</v>
      </c>
      <c r="H198" s="148"/>
      <c r="I198" s="150"/>
      <c r="J198" s="151"/>
    </row>
    <row r="199" spans="1:11" x14ac:dyDescent="0.25">
      <c r="A199" s="152">
        <v>56</v>
      </c>
      <c r="B199" s="154">
        <f>+B193</f>
        <v>43505</v>
      </c>
      <c r="C199" s="156" t="str">
        <f>+C193</f>
        <v>FACTURA COMPRA # 30</v>
      </c>
      <c r="D199" s="61" t="s">
        <v>85</v>
      </c>
      <c r="E199" s="61"/>
      <c r="F199" s="62">
        <f>+COMPRAS!C822</f>
        <v>1007.6580967199999</v>
      </c>
      <c r="G199" s="62"/>
      <c r="H199" s="158">
        <f>+SUM(F199:F200)</f>
        <v>1007.6580967199999</v>
      </c>
      <c r="I199" s="160">
        <f>+SUM(G199:G200)</f>
        <v>1007.6580967199999</v>
      </c>
      <c r="J199" s="151"/>
    </row>
    <row r="200" spans="1:11" ht="15.75" thickBot="1" x14ac:dyDescent="0.3">
      <c r="A200" s="153"/>
      <c r="B200" s="155"/>
      <c r="C200" s="157"/>
      <c r="D200" s="69" t="str">
        <f>+COMPRAS!C821</f>
        <v>Bancos XXX XXXX</v>
      </c>
      <c r="E200" s="65"/>
      <c r="F200" s="66"/>
      <c r="G200" s="66">
        <f>+COMPRAS!C822</f>
        <v>1007.6580967199999</v>
      </c>
      <c r="H200" s="159"/>
      <c r="I200" s="161"/>
      <c r="J200" s="151"/>
    </row>
    <row r="201" spans="1:11" ht="15" customHeight="1" x14ac:dyDescent="0.25">
      <c r="A201" s="141">
        <v>57</v>
      </c>
      <c r="B201" s="143">
        <f>+COMPRAS!C838</f>
        <v>43510</v>
      </c>
      <c r="C201" s="146" t="str">
        <f>+COMPRAS!C828</f>
        <v>FACTURA COMPRA # 31</v>
      </c>
      <c r="D201" s="63" t="s">
        <v>69</v>
      </c>
      <c r="E201" s="63" t="s">
        <v>46</v>
      </c>
      <c r="F201" s="64">
        <f>+COMPRAS!J831+COMPRAS!J832+COMPRAS!J833+COMPRAS!J834</f>
        <v>14.086366</v>
      </c>
      <c r="G201" s="64"/>
      <c r="H201" s="147">
        <f>+SUM(F201:F204)</f>
        <v>15.776729919999999</v>
      </c>
      <c r="I201" s="149">
        <f>+SUM(G201:G204)</f>
        <v>15.776729919999999</v>
      </c>
      <c r="J201" s="151" t="s">
        <v>278</v>
      </c>
      <c r="K201" s="77"/>
    </row>
    <row r="202" spans="1:11" x14ac:dyDescent="0.25">
      <c r="A202" s="142"/>
      <c r="B202" s="144"/>
      <c r="C202" s="145"/>
      <c r="D202" s="59">
        <f>+COMPRAS!P835</f>
        <v>0</v>
      </c>
      <c r="E202" s="59">
        <f>+COMPRAS!Q835</f>
        <v>0</v>
      </c>
      <c r="F202" s="60">
        <f>+COMPRAS!J835</f>
        <v>0</v>
      </c>
      <c r="G202" s="60"/>
      <c r="H202" s="148"/>
      <c r="I202" s="150"/>
      <c r="J202" s="151"/>
    </row>
    <row r="203" spans="1:11" x14ac:dyDescent="0.25">
      <c r="A203" s="142"/>
      <c r="B203" s="145"/>
      <c r="C203" s="145"/>
      <c r="D203" s="59" t="s">
        <v>194</v>
      </c>
      <c r="E203" s="59" t="s">
        <v>56</v>
      </c>
      <c r="F203" s="60">
        <f>+COMPRAS!E840</f>
        <v>1.69036392</v>
      </c>
      <c r="G203" s="60"/>
      <c r="H203" s="148"/>
      <c r="I203" s="150"/>
      <c r="J203" s="151"/>
    </row>
    <row r="204" spans="1:11" ht="15.75" thickBot="1" x14ac:dyDescent="0.3">
      <c r="A204" s="162"/>
      <c r="B204" s="163"/>
      <c r="C204" s="163"/>
      <c r="D204" s="67" t="s">
        <v>85</v>
      </c>
      <c r="E204" s="67"/>
      <c r="F204" s="68"/>
      <c r="G204" s="68">
        <f>+COMPRAS!E841</f>
        <v>15.776729919999999</v>
      </c>
      <c r="H204" s="164"/>
      <c r="I204" s="165"/>
      <c r="J204" s="151"/>
    </row>
    <row r="205" spans="1:11" x14ac:dyDescent="0.25">
      <c r="A205" s="141">
        <v>58</v>
      </c>
      <c r="B205" s="143">
        <f>+COMPRAS!C861</f>
        <v>43510</v>
      </c>
      <c r="C205" s="146" t="str">
        <f>+COMPRAS!C851</f>
        <v>FACTURA COMPRA # 32</v>
      </c>
      <c r="D205" s="63" t="s">
        <v>69</v>
      </c>
      <c r="E205" s="63" t="s">
        <v>46</v>
      </c>
      <c r="F205" s="64">
        <f>+COMPRAS!J831+COMPRAS!J832+COMPRAS!J833+COMPRAS!J834</f>
        <v>14.086366</v>
      </c>
      <c r="G205" s="64"/>
      <c r="H205" s="147">
        <f>+SUM(F205:F208)</f>
        <v>15.776729919999999</v>
      </c>
      <c r="I205" s="149">
        <f>+SUM(G205:G208)</f>
        <v>15.776729919999999</v>
      </c>
      <c r="J205" s="151" t="s">
        <v>278</v>
      </c>
    </row>
    <row r="206" spans="1:11" x14ac:dyDescent="0.25">
      <c r="A206" s="142"/>
      <c r="B206" s="144"/>
      <c r="C206" s="145"/>
      <c r="D206" s="59">
        <f>+COMPRAS!P835</f>
        <v>0</v>
      </c>
      <c r="E206" s="59">
        <f>+COMPRAS!Q835</f>
        <v>0</v>
      </c>
      <c r="F206" s="60">
        <f>+COMPRAS!J835</f>
        <v>0</v>
      </c>
      <c r="G206" s="60"/>
      <c r="H206" s="148"/>
      <c r="I206" s="150"/>
      <c r="J206" s="151"/>
    </row>
    <row r="207" spans="1:11" x14ac:dyDescent="0.25">
      <c r="A207" s="142"/>
      <c r="B207" s="145"/>
      <c r="C207" s="145"/>
      <c r="D207" s="59" t="s">
        <v>194</v>
      </c>
      <c r="E207" s="59" t="s">
        <v>56</v>
      </c>
      <c r="F207" s="60">
        <f>+COMPRAS!E840</f>
        <v>1.69036392</v>
      </c>
      <c r="G207" s="60"/>
      <c r="H207" s="148"/>
      <c r="I207" s="150"/>
      <c r="J207" s="151"/>
    </row>
    <row r="208" spans="1:11" x14ac:dyDescent="0.25">
      <c r="A208" s="142"/>
      <c r="B208" s="145"/>
      <c r="C208" s="145"/>
      <c r="D208" s="59" t="s">
        <v>85</v>
      </c>
      <c r="E208" s="59"/>
      <c r="F208" s="60"/>
      <c r="G208" s="60">
        <f>+COMPRAS!E841</f>
        <v>15.776729919999999</v>
      </c>
      <c r="H208" s="148"/>
      <c r="I208" s="150"/>
      <c r="J208" s="151"/>
    </row>
    <row r="209" spans="1:10" x14ac:dyDescent="0.25">
      <c r="A209" s="152">
        <v>59</v>
      </c>
      <c r="B209" s="154">
        <f>+B205</f>
        <v>43510</v>
      </c>
      <c r="C209" s="156" t="str">
        <f>+C205</f>
        <v>FACTURA COMPRA # 32</v>
      </c>
      <c r="D209" s="61" t="s">
        <v>85</v>
      </c>
      <c r="E209" s="61"/>
      <c r="F209" s="62">
        <f>+G208</f>
        <v>15.776729919999999</v>
      </c>
      <c r="G209" s="62"/>
      <c r="H209" s="158">
        <f>+SUM(F209:F210)</f>
        <v>15.776729919999999</v>
      </c>
      <c r="I209" s="160">
        <f>+SUM(G209:G210)</f>
        <v>755.36339199999998</v>
      </c>
      <c r="J209" s="151"/>
    </row>
    <row r="210" spans="1:10" ht="15.75" thickBot="1" x14ac:dyDescent="0.3">
      <c r="A210" s="153"/>
      <c r="B210" s="155"/>
      <c r="C210" s="157"/>
      <c r="D210" s="69" t="str">
        <f>+COMPRAS!C870</f>
        <v>Caja General</v>
      </c>
      <c r="E210" s="65"/>
      <c r="F210" s="66"/>
      <c r="G210" s="66">
        <f>+COMPRAS!C871</f>
        <v>755.36339199999998</v>
      </c>
      <c r="H210" s="159"/>
      <c r="I210" s="161"/>
      <c r="J210" s="151"/>
    </row>
    <row r="211" spans="1:10" x14ac:dyDescent="0.25">
      <c r="A211" s="141">
        <v>60</v>
      </c>
      <c r="B211" s="143">
        <f>+COMPRAS!C884</f>
        <v>43510</v>
      </c>
      <c r="C211" s="146" t="str">
        <f>+COMPRAS!C874</f>
        <v>FACTURA COMPRA # 33</v>
      </c>
      <c r="D211" s="63" t="s">
        <v>69</v>
      </c>
      <c r="E211" s="63" t="s">
        <v>46</v>
      </c>
      <c r="F211" s="64">
        <f>+COMPRAS!J831+COMPRAS!J832+COMPRAS!J833+COMPRAS!J834</f>
        <v>14.086366</v>
      </c>
      <c r="G211" s="64"/>
      <c r="H211" s="147">
        <f>+SUM(F211:F214)</f>
        <v>15.776729919999999</v>
      </c>
      <c r="I211" s="149">
        <f>+SUM(G211:G214)</f>
        <v>15.776729919999999</v>
      </c>
      <c r="J211" s="151" t="s">
        <v>278</v>
      </c>
    </row>
    <row r="212" spans="1:10" x14ac:dyDescent="0.25">
      <c r="A212" s="142"/>
      <c r="B212" s="144"/>
      <c r="C212" s="145"/>
      <c r="D212" s="59">
        <f>+COMPRAS!P835</f>
        <v>0</v>
      </c>
      <c r="E212" s="59">
        <f>+COMPRAS!Q835</f>
        <v>0</v>
      </c>
      <c r="F212" s="60">
        <f>+COMPRAS!J835</f>
        <v>0</v>
      </c>
      <c r="G212" s="60"/>
      <c r="H212" s="148"/>
      <c r="I212" s="150"/>
      <c r="J212" s="151"/>
    </row>
    <row r="213" spans="1:10" x14ac:dyDescent="0.25">
      <c r="A213" s="142"/>
      <c r="B213" s="145"/>
      <c r="C213" s="145"/>
      <c r="D213" s="59" t="s">
        <v>194</v>
      </c>
      <c r="E213" s="59" t="s">
        <v>56</v>
      </c>
      <c r="F213" s="60">
        <f>+COMPRAS!E840</f>
        <v>1.69036392</v>
      </c>
      <c r="G213" s="60"/>
      <c r="H213" s="148"/>
      <c r="I213" s="150"/>
      <c r="J213" s="151"/>
    </row>
    <row r="214" spans="1:10" x14ac:dyDescent="0.25">
      <c r="A214" s="142"/>
      <c r="B214" s="145"/>
      <c r="C214" s="145"/>
      <c r="D214" s="59" t="s">
        <v>85</v>
      </c>
      <c r="E214" s="59"/>
      <c r="F214" s="60"/>
      <c r="G214" s="60">
        <f>+COMPRAS!E841</f>
        <v>15.776729919999999</v>
      </c>
      <c r="H214" s="148"/>
      <c r="I214" s="150"/>
      <c r="J214" s="151"/>
    </row>
    <row r="215" spans="1:10" x14ac:dyDescent="0.25">
      <c r="A215" s="152">
        <v>61</v>
      </c>
      <c r="B215" s="154">
        <f>+B211</f>
        <v>43510</v>
      </c>
      <c r="C215" s="156" t="str">
        <f>+C211</f>
        <v>FACTURA COMPRA # 33</v>
      </c>
      <c r="D215" s="61" t="s">
        <v>85</v>
      </c>
      <c r="E215" s="61"/>
      <c r="F215" s="62">
        <f>+G214</f>
        <v>15.776729919999999</v>
      </c>
      <c r="G215" s="62"/>
      <c r="H215" s="158">
        <f>+SUM(F215:F216)</f>
        <v>15.776729919999999</v>
      </c>
      <c r="I215" s="160">
        <f>+SUM(G215:G216)</f>
        <v>755.36339199999998</v>
      </c>
      <c r="J215" s="151"/>
    </row>
    <row r="216" spans="1:10" ht="15.75" thickBot="1" x14ac:dyDescent="0.3">
      <c r="A216" s="153"/>
      <c r="B216" s="155"/>
      <c r="C216" s="157"/>
      <c r="D216" s="69" t="str">
        <f>+COMPRAS!C893</f>
        <v>Sociedades Financieras</v>
      </c>
      <c r="E216" s="65"/>
      <c r="F216" s="66"/>
      <c r="G216" s="66">
        <f>+COMPRAS!C894</f>
        <v>755.36339199999998</v>
      </c>
      <c r="H216" s="159"/>
      <c r="I216" s="161"/>
      <c r="J216" s="151"/>
    </row>
    <row r="217" spans="1:10" x14ac:dyDescent="0.25">
      <c r="A217" s="141">
        <v>62</v>
      </c>
      <c r="B217" s="143">
        <f>+COMPRAS!C907</f>
        <v>43510</v>
      </c>
      <c r="C217" s="146" t="str">
        <f>+COMPRAS!C897</f>
        <v>FACTURA COMPRA # 34</v>
      </c>
      <c r="D217" s="63" t="s">
        <v>69</v>
      </c>
      <c r="E217" s="63" t="s">
        <v>46</v>
      </c>
      <c r="F217" s="64">
        <f>+COMPRAS!J900+COMPRAS!J901+COMPRAS!J902+COMPRAS!J903</f>
        <v>1180.8087</v>
      </c>
      <c r="G217" s="64"/>
      <c r="H217" s="147">
        <f>+SUM(F217:F220)</f>
        <v>1748.105744</v>
      </c>
      <c r="I217" s="149">
        <f>+SUM(G217:G220)</f>
        <v>1748.105744</v>
      </c>
      <c r="J217" s="151" t="s">
        <v>278</v>
      </c>
    </row>
    <row r="218" spans="1:10" x14ac:dyDescent="0.25">
      <c r="A218" s="142"/>
      <c r="B218" s="144"/>
      <c r="C218" s="145"/>
      <c r="D218" s="59" t="str">
        <f>+COMPRAS!P904</f>
        <v>Mantenimiento edificios</v>
      </c>
      <c r="E218" s="59" t="str">
        <f>+COMPRAS!Q904</f>
        <v>5.1.02.07.004</v>
      </c>
      <c r="F218" s="60">
        <f>+COMPRAS!J904</f>
        <v>380</v>
      </c>
      <c r="G218" s="60"/>
      <c r="H218" s="148"/>
      <c r="I218" s="150"/>
      <c r="J218" s="151"/>
    </row>
    <row r="219" spans="1:10" x14ac:dyDescent="0.25">
      <c r="A219" s="142"/>
      <c r="B219" s="145"/>
      <c r="C219" s="145"/>
      <c r="D219" s="59" t="s">
        <v>194</v>
      </c>
      <c r="E219" s="59" t="s">
        <v>56</v>
      </c>
      <c r="F219" s="60">
        <f>+COMPRAS!E909</f>
        <v>187.297044</v>
      </c>
      <c r="G219" s="60"/>
      <c r="H219" s="148"/>
      <c r="I219" s="150"/>
      <c r="J219" s="151"/>
    </row>
    <row r="220" spans="1:10" x14ac:dyDescent="0.25">
      <c r="A220" s="142"/>
      <c r="B220" s="145"/>
      <c r="C220" s="145"/>
      <c r="D220" s="59" t="s">
        <v>85</v>
      </c>
      <c r="E220" s="59"/>
      <c r="F220" s="60"/>
      <c r="G220" s="60">
        <f>+COMPRAS!E910</f>
        <v>1748.105744</v>
      </c>
      <c r="H220" s="148"/>
      <c r="I220" s="150"/>
      <c r="J220" s="151"/>
    </row>
    <row r="221" spans="1:10" x14ac:dyDescent="0.25">
      <c r="A221" s="152">
        <v>63</v>
      </c>
      <c r="B221" s="154">
        <f>+B217</f>
        <v>43510</v>
      </c>
      <c r="C221" s="156" t="str">
        <f>+C217</f>
        <v>FACTURA COMPRA # 34</v>
      </c>
      <c r="D221" s="61" t="s">
        <v>85</v>
      </c>
      <c r="E221" s="61"/>
      <c r="F221" s="62">
        <f>+G220</f>
        <v>1748.105744</v>
      </c>
      <c r="G221" s="62"/>
      <c r="H221" s="158">
        <f>+SUM(F221:F222)</f>
        <v>1748.105744</v>
      </c>
      <c r="I221" s="160">
        <f>+SUM(G221:G222)</f>
        <v>1748.105744</v>
      </c>
      <c r="J221" s="151"/>
    </row>
    <row r="222" spans="1:10" ht="15.75" thickBot="1" x14ac:dyDescent="0.3">
      <c r="A222" s="153"/>
      <c r="B222" s="155"/>
      <c r="C222" s="157"/>
      <c r="D222" s="69" t="str">
        <f>+COMPRAS!C916</f>
        <v>Bancos XXX XXXX</v>
      </c>
      <c r="E222" s="65"/>
      <c r="F222" s="66"/>
      <c r="G222" s="66">
        <f>+COMPRAS!C917</f>
        <v>1748.105744</v>
      </c>
      <c r="H222" s="159"/>
      <c r="I222" s="161"/>
      <c r="J222" s="151"/>
    </row>
    <row r="223" spans="1:10" x14ac:dyDescent="0.25">
      <c r="A223" s="141">
        <v>64</v>
      </c>
      <c r="B223" s="143">
        <f>+COMPRAS!C930</f>
        <v>43510</v>
      </c>
      <c r="C223" s="146" t="str">
        <f>+COMPRAS!C920</f>
        <v>FACTURA COMPRA # 35</v>
      </c>
      <c r="D223" s="63" t="s">
        <v>69</v>
      </c>
      <c r="E223" s="63" t="s">
        <v>46</v>
      </c>
      <c r="F223" s="64">
        <f>+COMPRAS!J923+COMPRAS!J924+COMPRAS!J925+COMPRAS!J926</f>
        <v>1180.8087</v>
      </c>
      <c r="G223" s="64"/>
      <c r="H223" s="147">
        <f>+SUM(F223:F226)</f>
        <v>1748.105744</v>
      </c>
      <c r="I223" s="149">
        <f>+SUM(G223:G226)</f>
        <v>1748.105744</v>
      </c>
      <c r="J223" s="151" t="s">
        <v>278</v>
      </c>
    </row>
    <row r="224" spans="1:10" x14ac:dyDescent="0.25">
      <c r="A224" s="142"/>
      <c r="B224" s="144"/>
      <c r="C224" s="145"/>
      <c r="D224" s="59" t="str">
        <f>+COMPRAS!P927</f>
        <v>Mantenimiento edificios</v>
      </c>
      <c r="E224" s="59" t="str">
        <f>+COMPRAS!Q927</f>
        <v>5.1.02.07.004</v>
      </c>
      <c r="F224" s="60">
        <f>+COMPRAS!J927</f>
        <v>380</v>
      </c>
      <c r="G224" s="60"/>
      <c r="H224" s="148"/>
      <c r="I224" s="150"/>
      <c r="J224" s="151"/>
    </row>
    <row r="225" spans="1:10" x14ac:dyDescent="0.25">
      <c r="A225" s="142"/>
      <c r="B225" s="145"/>
      <c r="C225" s="145"/>
      <c r="D225" s="59" t="s">
        <v>194</v>
      </c>
      <c r="E225" s="59" t="s">
        <v>56</v>
      </c>
      <c r="F225" s="60">
        <f>+COMPRAS!E932</f>
        <v>187.297044</v>
      </c>
      <c r="G225" s="60"/>
      <c r="H225" s="148"/>
      <c r="I225" s="150"/>
      <c r="J225" s="151"/>
    </row>
    <row r="226" spans="1:10" x14ac:dyDescent="0.25">
      <c r="A226" s="142"/>
      <c r="B226" s="145"/>
      <c r="C226" s="145"/>
      <c r="D226" s="59" t="s">
        <v>85</v>
      </c>
      <c r="E226" s="59"/>
      <c r="F226" s="60"/>
      <c r="G226" s="60">
        <f>+COMPRAS!E933</f>
        <v>1748.105744</v>
      </c>
      <c r="H226" s="148"/>
      <c r="I226" s="150"/>
      <c r="J226" s="151"/>
    </row>
    <row r="227" spans="1:10" x14ac:dyDescent="0.25">
      <c r="A227" s="152">
        <v>65</v>
      </c>
      <c r="B227" s="154">
        <f>+B223</f>
        <v>43510</v>
      </c>
      <c r="C227" s="156" t="str">
        <f>+C223</f>
        <v>FACTURA COMPRA # 35</v>
      </c>
      <c r="D227" s="61" t="s">
        <v>85</v>
      </c>
      <c r="E227" s="61"/>
      <c r="F227" s="62">
        <f>+G226</f>
        <v>1748.105744</v>
      </c>
      <c r="G227" s="62"/>
      <c r="H227" s="158">
        <f>+SUM(F227:F230)</f>
        <v>1748.105744</v>
      </c>
      <c r="I227" s="160">
        <f>+SUM(G227:G230)</f>
        <v>1748.105744</v>
      </c>
      <c r="J227" s="151"/>
    </row>
    <row r="228" spans="1:10" x14ac:dyDescent="0.25">
      <c r="A228" s="152"/>
      <c r="B228" s="154"/>
      <c r="C228" s="156"/>
      <c r="D228" s="70" t="str">
        <f>+COMPRAS!C939</f>
        <v>Bancos XXX XXXX</v>
      </c>
      <c r="E228" s="61"/>
      <c r="F228" s="62"/>
      <c r="G228" s="62">
        <f>+COMPRAS!C940</f>
        <v>524.43172319999996</v>
      </c>
      <c r="H228" s="158"/>
      <c r="I228" s="160"/>
      <c r="J228" s="151"/>
    </row>
    <row r="229" spans="1:10" x14ac:dyDescent="0.25">
      <c r="A229" s="152"/>
      <c r="B229" s="154"/>
      <c r="C229" s="156"/>
      <c r="D229" s="70" t="str">
        <f>+COMPRAS!C941</f>
        <v>Bancos XYZ XYZ</v>
      </c>
      <c r="E229" s="61"/>
      <c r="F229" s="62"/>
      <c r="G229" s="62">
        <f>+COMPRAS!C942</f>
        <v>524.43172319999996</v>
      </c>
      <c r="H229" s="158"/>
      <c r="I229" s="160"/>
      <c r="J229" s="151"/>
    </row>
    <row r="230" spans="1:10" ht="15.75" thickBot="1" x14ac:dyDescent="0.3">
      <c r="A230" s="153"/>
      <c r="B230" s="155"/>
      <c r="C230" s="157"/>
      <c r="D230" s="69" t="str">
        <f>+COMPRAS!C944</f>
        <v>Caja General</v>
      </c>
      <c r="E230" s="65"/>
      <c r="F230" s="66"/>
      <c r="G230" s="66">
        <f>+COMPRAS!C945</f>
        <v>699.24229760000003</v>
      </c>
      <c r="H230" s="159"/>
      <c r="I230" s="161"/>
      <c r="J230" s="151"/>
    </row>
    <row r="231" spans="1:10" x14ac:dyDescent="0.25">
      <c r="A231" s="141">
        <v>66</v>
      </c>
      <c r="B231" s="143">
        <f>+COMPRAS!C958</f>
        <v>43510</v>
      </c>
      <c r="C231" s="146" t="str">
        <f>+COMPRAS!C948</f>
        <v>FACTURA COMPRA # 36</v>
      </c>
      <c r="D231" s="63" t="s">
        <v>69</v>
      </c>
      <c r="E231" s="63" t="s">
        <v>46</v>
      </c>
      <c r="F231" s="64">
        <f>+COMPRAS!J923+COMPRAS!J924+COMPRAS!J925+COMPRAS!J926</f>
        <v>1180.8087</v>
      </c>
      <c r="G231" s="64"/>
      <c r="H231" s="147">
        <f>+SUM(F231:F234)</f>
        <v>1748.105744</v>
      </c>
      <c r="I231" s="149">
        <f>+SUM(G231:G234)</f>
        <v>1748.105744</v>
      </c>
      <c r="J231" s="151" t="s">
        <v>278</v>
      </c>
    </row>
    <row r="232" spans="1:10" x14ac:dyDescent="0.25">
      <c r="A232" s="142"/>
      <c r="B232" s="144"/>
      <c r="C232" s="145"/>
      <c r="D232" s="59" t="str">
        <f>+COMPRAS!P927</f>
        <v>Mantenimiento edificios</v>
      </c>
      <c r="E232" s="59" t="str">
        <f>+COMPRAS!Q927</f>
        <v>5.1.02.07.004</v>
      </c>
      <c r="F232" s="60">
        <f>+COMPRAS!J927</f>
        <v>380</v>
      </c>
      <c r="G232" s="60"/>
      <c r="H232" s="148"/>
      <c r="I232" s="150"/>
      <c r="J232" s="151"/>
    </row>
    <row r="233" spans="1:10" x14ac:dyDescent="0.25">
      <c r="A233" s="142"/>
      <c r="B233" s="145"/>
      <c r="C233" s="145"/>
      <c r="D233" s="59" t="s">
        <v>194</v>
      </c>
      <c r="E233" s="59" t="s">
        <v>56</v>
      </c>
      <c r="F233" s="60">
        <f>+COMPRAS!E932</f>
        <v>187.297044</v>
      </c>
      <c r="G233" s="60"/>
      <c r="H233" s="148"/>
      <c r="I233" s="150"/>
      <c r="J233" s="151"/>
    </row>
    <row r="234" spans="1:10" x14ac:dyDescent="0.25">
      <c r="A234" s="142"/>
      <c r="B234" s="145"/>
      <c r="C234" s="145"/>
      <c r="D234" s="59" t="s">
        <v>85</v>
      </c>
      <c r="E234" s="59"/>
      <c r="F234" s="60"/>
      <c r="G234" s="60">
        <f>+COMPRAS!E961</f>
        <v>1748.105744</v>
      </c>
      <c r="H234" s="148"/>
      <c r="I234" s="150"/>
      <c r="J234" s="151"/>
    </row>
    <row r="235" spans="1:10" x14ac:dyDescent="0.25">
      <c r="A235" s="152">
        <v>67</v>
      </c>
      <c r="B235" s="154">
        <f>+B231</f>
        <v>43510</v>
      </c>
      <c r="C235" s="156" t="str">
        <f>+C231</f>
        <v>FACTURA COMPRA # 36</v>
      </c>
      <c r="D235" s="61" t="s">
        <v>85</v>
      </c>
      <c r="E235" s="61"/>
      <c r="F235" s="62">
        <f>+COMPRAS!C968</f>
        <v>1048.8634463999999</v>
      </c>
      <c r="G235" s="62"/>
      <c r="H235" s="158">
        <f>+SUM(F235:F236)</f>
        <v>1048.8634463999999</v>
      </c>
      <c r="I235" s="160">
        <f>+SUM(G235:G236)</f>
        <v>1048.8634463999999</v>
      </c>
      <c r="J235" s="151"/>
    </row>
    <row r="236" spans="1:10" ht="15.75" thickBot="1" x14ac:dyDescent="0.3">
      <c r="A236" s="153"/>
      <c r="B236" s="155"/>
      <c r="C236" s="157"/>
      <c r="D236" s="69" t="str">
        <f>+COMPRAS!C967</f>
        <v>Bancos XXX XXXX</v>
      </c>
      <c r="E236" s="65"/>
      <c r="F236" s="66"/>
      <c r="G236" s="66">
        <f>+COMPRAS!C968</f>
        <v>1048.8634463999999</v>
      </c>
      <c r="H236" s="159"/>
      <c r="I236" s="161"/>
      <c r="J236" s="151"/>
    </row>
    <row r="237" spans="1:10" x14ac:dyDescent="0.25">
      <c r="A237" s="141">
        <v>68</v>
      </c>
      <c r="B237" s="143">
        <f>+COMPRAS!C984</f>
        <v>43511</v>
      </c>
      <c r="C237" s="146" t="str">
        <f>+COMPRAS!C974</f>
        <v>FACTURA COMPRA # 37</v>
      </c>
      <c r="D237" s="63" t="s">
        <v>69</v>
      </c>
      <c r="E237" s="63" t="s">
        <v>46</v>
      </c>
      <c r="F237" s="64">
        <f>+COMPRAS!J977+COMPRAS!J978+COMPRAS!J979+COMPRAS!I980+COMPRAS!I981+COMPRAS!I982-COMPRAS!M977-COMPRAS!M978-COMPRAS!M979-COMPRAS!M980-COMPRAS!M981-COMPRAS!M982</f>
        <v>4054.1038687599998</v>
      </c>
      <c r="G237" s="64"/>
      <c r="H237" s="147">
        <f>+SUM(F237:F242)</f>
        <v>4383.5803613751996</v>
      </c>
      <c r="I237" s="149">
        <f>+SUM(G237:G242)</f>
        <v>4383.5803613751996</v>
      </c>
      <c r="J237" s="151" t="s">
        <v>278</v>
      </c>
    </row>
    <row r="238" spans="1:10" x14ac:dyDescent="0.25">
      <c r="A238" s="142"/>
      <c r="B238" s="144"/>
      <c r="C238" s="145"/>
      <c r="D238" s="59" t="str">
        <f>+COMPRAS!P983</f>
        <v>ARRIENDO</v>
      </c>
      <c r="E238" s="59" t="str">
        <f>+COMPRAS!Q983</f>
        <v>5.2.01.02.014</v>
      </c>
      <c r="F238" s="60">
        <f>+COMPRAS!J983-COMPRAS!M983</f>
        <v>228</v>
      </c>
      <c r="G238" s="60"/>
      <c r="H238" s="148"/>
      <c r="I238" s="150"/>
      <c r="J238" s="151"/>
    </row>
    <row r="239" spans="1:10" x14ac:dyDescent="0.25">
      <c r="A239" s="142"/>
      <c r="B239" s="145"/>
      <c r="C239" s="145"/>
      <c r="D239" s="59" t="s">
        <v>194</v>
      </c>
      <c r="E239" s="59" t="s">
        <v>56</v>
      </c>
      <c r="F239" s="60">
        <f>+COMPRAS!E987</f>
        <v>101.4764926152</v>
      </c>
      <c r="G239" s="60"/>
      <c r="H239" s="148"/>
      <c r="I239" s="150"/>
      <c r="J239" s="151"/>
    </row>
    <row r="240" spans="1:10" x14ac:dyDescent="0.25">
      <c r="A240" s="142"/>
      <c r="B240" s="145"/>
      <c r="C240" s="145"/>
      <c r="D240" s="59" t="str">
        <f>+COMPRAS!E993</f>
        <v>Retencion IVA por pagar 100%</v>
      </c>
      <c r="E240" s="59" t="str">
        <f>+COMPRAS!D993</f>
        <v>2.1.01.07.006</v>
      </c>
      <c r="F240" s="60"/>
      <c r="G240" s="60">
        <f>+COMPRAS!L993</f>
        <v>101.4764926152</v>
      </c>
      <c r="H240" s="148"/>
      <c r="I240" s="150"/>
      <c r="J240" s="151"/>
    </row>
    <row r="241" spans="1:10" x14ac:dyDescent="0.25">
      <c r="A241" s="142"/>
      <c r="B241" s="145"/>
      <c r="C241" s="145"/>
      <c r="D241" s="59" t="str">
        <f>+COMPRAS!E994</f>
        <v>Impuesto a la renta por pagar 1%</v>
      </c>
      <c r="E241" s="59" t="str">
        <f>+COMPRAS!D994</f>
        <v>2.1.01.06.001</v>
      </c>
      <c r="F241" s="60"/>
      <c r="G241" s="60">
        <f>+COMPRAS!L994</f>
        <v>42.821038687599994</v>
      </c>
      <c r="H241" s="148"/>
      <c r="I241" s="150"/>
      <c r="J241" s="151"/>
    </row>
    <row r="242" spans="1:10" ht="15.75" thickBot="1" x14ac:dyDescent="0.3">
      <c r="A242" s="142"/>
      <c r="B242" s="145"/>
      <c r="C242" s="145"/>
      <c r="D242" s="59" t="s">
        <v>85</v>
      </c>
      <c r="E242" s="59"/>
      <c r="F242" s="60"/>
      <c r="G242" s="60">
        <f>+COMPRAS!N993</f>
        <v>4239.2828300723995</v>
      </c>
      <c r="H242" s="148"/>
      <c r="I242" s="150"/>
      <c r="J242" s="151"/>
    </row>
    <row r="243" spans="1:10" x14ac:dyDescent="0.25">
      <c r="A243" s="141">
        <v>69</v>
      </c>
      <c r="B243" s="143">
        <f>+COMPRAS!C1013</f>
        <v>43511</v>
      </c>
      <c r="C243" s="146" t="str">
        <f>+COMPRAS!C1003</f>
        <v>FACTURA COMPRA # 38</v>
      </c>
      <c r="D243" s="63" t="s">
        <v>69</v>
      </c>
      <c r="E243" s="63" t="s">
        <v>46</v>
      </c>
      <c r="F243" s="64">
        <f>+COMPRAS!J977+COMPRAS!J978+COMPRAS!J979+COMPRAS!I980+COMPRAS!I981+COMPRAS!I982-COMPRAS!M977-COMPRAS!M978-COMPRAS!M979-COMPRAS!M980-COMPRAS!M981-COMPRAS!M982</f>
        <v>4054.1038687599998</v>
      </c>
      <c r="G243" s="64"/>
      <c r="H243" s="147">
        <f>+SUM(F243:F248)</f>
        <v>4383.5803613751996</v>
      </c>
      <c r="I243" s="149">
        <f>+SUM(G243:G248)</f>
        <v>4383.5803613751996</v>
      </c>
      <c r="J243" s="151" t="s">
        <v>278</v>
      </c>
    </row>
    <row r="244" spans="1:10" x14ac:dyDescent="0.25">
      <c r="A244" s="142"/>
      <c r="B244" s="144"/>
      <c r="C244" s="145"/>
      <c r="D244" s="59" t="str">
        <f>+COMPRAS!P983</f>
        <v>ARRIENDO</v>
      </c>
      <c r="E244" s="59" t="str">
        <f>+COMPRAS!Q983</f>
        <v>5.2.01.02.014</v>
      </c>
      <c r="F244" s="60">
        <f>+COMPRAS!J983-COMPRAS!M983</f>
        <v>228</v>
      </c>
      <c r="G244" s="60"/>
      <c r="H244" s="148"/>
      <c r="I244" s="150"/>
      <c r="J244" s="151"/>
    </row>
    <row r="245" spans="1:10" x14ac:dyDescent="0.25">
      <c r="A245" s="142"/>
      <c r="B245" s="145"/>
      <c r="C245" s="145"/>
      <c r="D245" s="59" t="s">
        <v>194</v>
      </c>
      <c r="E245" s="59" t="s">
        <v>56</v>
      </c>
      <c r="F245" s="60">
        <f>+COMPRAS!E987</f>
        <v>101.4764926152</v>
      </c>
      <c r="G245" s="60"/>
      <c r="H245" s="148"/>
      <c r="I245" s="150"/>
      <c r="J245" s="151"/>
    </row>
    <row r="246" spans="1:10" x14ac:dyDescent="0.25">
      <c r="A246" s="142"/>
      <c r="B246" s="145"/>
      <c r="C246" s="145"/>
      <c r="D246" s="59" t="str">
        <f>+COMPRAS!E1022</f>
        <v>Retencion IVA por pagar 100%</v>
      </c>
      <c r="E246" s="59" t="str">
        <f>+COMPRAS!D993</f>
        <v>2.1.01.07.006</v>
      </c>
      <c r="F246" s="60"/>
      <c r="G246" s="60">
        <f>+COMPRAS!L1022</f>
        <v>101.4764926152</v>
      </c>
      <c r="H246" s="148"/>
      <c r="I246" s="150"/>
      <c r="J246" s="151"/>
    </row>
    <row r="247" spans="1:10" x14ac:dyDescent="0.25">
      <c r="A247" s="142"/>
      <c r="B247" s="145"/>
      <c r="C247" s="145"/>
      <c r="D247" s="59" t="str">
        <f>+COMPRAS!E1023</f>
        <v>Impuesto a la renta por pagar 1%</v>
      </c>
      <c r="E247" s="59" t="str">
        <f>+COMPRAS!D994</f>
        <v>2.1.01.06.001</v>
      </c>
      <c r="F247" s="60"/>
      <c r="G247" s="60">
        <f>+COMPRAS!L1023</f>
        <v>42.821038687599994</v>
      </c>
      <c r="H247" s="148"/>
      <c r="I247" s="150"/>
      <c r="J247" s="151"/>
    </row>
    <row r="248" spans="1:10" x14ac:dyDescent="0.25">
      <c r="A248" s="142"/>
      <c r="B248" s="145"/>
      <c r="C248" s="145"/>
      <c r="D248" s="59" t="s">
        <v>85</v>
      </c>
      <c r="E248" s="59"/>
      <c r="F248" s="60"/>
      <c r="G248" s="60">
        <f>+COMPRAS!N993</f>
        <v>4239.2828300723995</v>
      </c>
      <c r="H248" s="148"/>
      <c r="I248" s="150"/>
      <c r="J248" s="151"/>
    </row>
    <row r="249" spans="1:10" x14ac:dyDescent="0.25">
      <c r="A249" s="152">
        <v>70</v>
      </c>
      <c r="B249" s="154">
        <f>+B243</f>
        <v>43511</v>
      </c>
      <c r="C249" s="156" t="str">
        <f>+C243</f>
        <v>FACTURA COMPRA # 38</v>
      </c>
      <c r="D249" s="61" t="s">
        <v>85</v>
      </c>
      <c r="E249" s="61"/>
      <c r="F249" s="62">
        <f>+COMPRAS!N1022</f>
        <v>4239.2828300723995</v>
      </c>
      <c r="G249" s="62"/>
      <c r="H249" s="158">
        <f>+SUM(F249:F250)</f>
        <v>4239.2828300723995</v>
      </c>
      <c r="I249" s="160">
        <f>+SUM(G249:G250)</f>
        <v>4239.2828300723995</v>
      </c>
      <c r="J249" s="151"/>
    </row>
    <row r="250" spans="1:10" ht="15.75" thickBot="1" x14ac:dyDescent="0.3">
      <c r="A250" s="153"/>
      <c r="B250" s="155"/>
      <c r="C250" s="157"/>
      <c r="D250" s="69" t="str">
        <f>+COMPRAS!C1028</f>
        <v>Caja General</v>
      </c>
      <c r="E250" s="65"/>
      <c r="F250" s="66"/>
      <c r="G250" s="66">
        <f>+COMPRAS!C1029</f>
        <v>4239.2828300723995</v>
      </c>
      <c r="H250" s="159"/>
      <c r="I250" s="161"/>
      <c r="J250" s="151"/>
    </row>
    <row r="251" spans="1:10" x14ac:dyDescent="0.25">
      <c r="A251" s="141">
        <v>71</v>
      </c>
      <c r="B251" s="143">
        <f>+COMPRAS!C1042</f>
        <v>43511</v>
      </c>
      <c r="C251" s="146" t="str">
        <f>+COMPRAS!C1032</f>
        <v>FACTURA COMPRA # 39</v>
      </c>
      <c r="D251" s="63" t="s">
        <v>69</v>
      </c>
      <c r="E251" s="63" t="s">
        <v>46</v>
      </c>
      <c r="F251" s="64">
        <f>+COMPRAS!J977+COMPRAS!J978+COMPRAS!J979+COMPRAS!I980+COMPRAS!I981+COMPRAS!I982-COMPRAS!M977-COMPRAS!M978-COMPRAS!M979-COMPRAS!M980-COMPRAS!M981-COMPRAS!M982</f>
        <v>4054.1038687599998</v>
      </c>
      <c r="G251" s="64"/>
      <c r="H251" s="147">
        <f>+SUM(F251:F256)</f>
        <v>4383.5803613751996</v>
      </c>
      <c r="I251" s="149">
        <f>+SUM(G251:G256)</f>
        <v>4383.5803613751996</v>
      </c>
      <c r="J251" s="151" t="s">
        <v>278</v>
      </c>
    </row>
    <row r="252" spans="1:10" x14ac:dyDescent="0.25">
      <c r="A252" s="142"/>
      <c r="B252" s="144"/>
      <c r="C252" s="145"/>
      <c r="D252" s="59" t="str">
        <f>+COMPRAS!P983</f>
        <v>ARRIENDO</v>
      </c>
      <c r="E252" s="59" t="str">
        <f>+COMPRAS!Q983</f>
        <v>5.2.01.02.014</v>
      </c>
      <c r="F252" s="60">
        <f>+COMPRAS!J983-COMPRAS!M983</f>
        <v>228</v>
      </c>
      <c r="G252" s="60"/>
      <c r="H252" s="148"/>
      <c r="I252" s="150"/>
      <c r="J252" s="151"/>
    </row>
    <row r="253" spans="1:10" x14ac:dyDescent="0.25">
      <c r="A253" s="142"/>
      <c r="B253" s="145"/>
      <c r="C253" s="145"/>
      <c r="D253" s="59" t="s">
        <v>194</v>
      </c>
      <c r="E253" s="59" t="s">
        <v>56</v>
      </c>
      <c r="F253" s="60">
        <f>+COMPRAS!E987</f>
        <v>101.4764926152</v>
      </c>
      <c r="G253" s="60"/>
      <c r="H253" s="148"/>
      <c r="I253" s="150"/>
      <c r="J253" s="151"/>
    </row>
    <row r="254" spans="1:10" x14ac:dyDescent="0.25">
      <c r="A254" s="142"/>
      <c r="B254" s="145"/>
      <c r="C254" s="145"/>
      <c r="D254" s="59" t="str">
        <f>+COMPRAS!E1050</f>
        <v>Retencion IVA por pagar 50%</v>
      </c>
      <c r="E254" s="59" t="str">
        <f>+COMPRAS!D1050</f>
        <v>2.1.01.07.004</v>
      </c>
      <c r="F254" s="60"/>
      <c r="G254" s="60">
        <f>+COMPRAS!L1050</f>
        <v>50.738246307600001</v>
      </c>
      <c r="H254" s="148"/>
      <c r="I254" s="150"/>
      <c r="J254" s="151"/>
    </row>
    <row r="255" spans="1:10" x14ac:dyDescent="0.25">
      <c r="A255" s="142"/>
      <c r="B255" s="145"/>
      <c r="C255" s="145"/>
      <c r="D255" s="59" t="str">
        <f>+COMPRAS!E1051</f>
        <v>Impuesto a la renta por pagar 2%</v>
      </c>
      <c r="E255" s="59" t="str">
        <f>+COMPRAS!D1051</f>
        <v>2.1.01.06.002</v>
      </c>
      <c r="F255" s="60"/>
      <c r="G255" s="60">
        <f>+COMPRAS!L1051</f>
        <v>85.642077375199989</v>
      </c>
      <c r="H255" s="148"/>
      <c r="I255" s="150"/>
      <c r="J255" s="151"/>
    </row>
    <row r="256" spans="1:10" x14ac:dyDescent="0.25">
      <c r="A256" s="142"/>
      <c r="B256" s="145"/>
      <c r="C256" s="145"/>
      <c r="D256" s="59" t="s">
        <v>85</v>
      </c>
      <c r="E256" s="59"/>
      <c r="F256" s="60"/>
      <c r="G256" s="60">
        <f>+COMPRAS!N1050</f>
        <v>4247.2000376923997</v>
      </c>
      <c r="H256" s="148"/>
      <c r="I256" s="150"/>
      <c r="J256" s="151"/>
    </row>
    <row r="257" spans="1:10" x14ac:dyDescent="0.25">
      <c r="A257" s="152">
        <v>72</v>
      </c>
      <c r="B257" s="154">
        <f>+B251</f>
        <v>43511</v>
      </c>
      <c r="C257" s="156" t="str">
        <f>+C251</f>
        <v>FACTURA COMPRA # 39</v>
      </c>
      <c r="D257" s="61" t="s">
        <v>85</v>
      </c>
      <c r="E257" s="61"/>
      <c r="F257" s="62">
        <f>+COMPRAS!N1050</f>
        <v>4247.2000376923997</v>
      </c>
      <c r="G257" s="62"/>
      <c r="H257" s="158">
        <f>+SUM(F257:F258)</f>
        <v>4247.2000376923997</v>
      </c>
      <c r="I257" s="160">
        <f>+SUM(G257:G258)</f>
        <v>4247.2000376923997</v>
      </c>
      <c r="J257" s="151"/>
    </row>
    <row r="258" spans="1:10" ht="15.75" thickBot="1" x14ac:dyDescent="0.3">
      <c r="A258" s="153"/>
      <c r="B258" s="155"/>
      <c r="C258" s="157"/>
      <c r="D258" s="69" t="str">
        <f>+COMPRAS!C1056</f>
        <v>Sociedades Financieras</v>
      </c>
      <c r="E258" s="65"/>
      <c r="F258" s="66"/>
      <c r="G258" s="66">
        <f>+COMPRAS!C1057</f>
        <v>4247.2000376923997</v>
      </c>
      <c r="H258" s="159"/>
      <c r="I258" s="161"/>
      <c r="J258" s="151"/>
    </row>
    <row r="259" spans="1:10" x14ac:dyDescent="0.25">
      <c r="A259" s="141">
        <v>73</v>
      </c>
      <c r="B259" s="143">
        <f>+COMPRAS!C1070</f>
        <v>43511</v>
      </c>
      <c r="C259" s="146" t="str">
        <f>+COMPRAS!C1060</f>
        <v>FACTURA COMPRA # 40</v>
      </c>
      <c r="D259" s="63" t="s">
        <v>69</v>
      </c>
      <c r="E259" s="63" t="s">
        <v>46</v>
      </c>
      <c r="F259" s="64">
        <f>+COMPRAS!J1069-COMPRAS!M1069</f>
        <v>552.03930000000003</v>
      </c>
      <c r="G259" s="64"/>
      <c r="H259" s="147">
        <f>+SUM(F259:F264)</f>
        <v>931.98641599999996</v>
      </c>
      <c r="I259" s="149">
        <f>+SUM(G259:G264)</f>
        <v>931.98641599999996</v>
      </c>
      <c r="J259" s="151" t="s">
        <v>278</v>
      </c>
    </row>
    <row r="260" spans="1:10" x14ac:dyDescent="0.25">
      <c r="A260" s="142"/>
      <c r="B260" s="144"/>
      <c r="C260" s="145"/>
      <c r="D260" s="59" t="str">
        <f>+COMPRAS!P1063</f>
        <v>UTILES Y PAPELERIA</v>
      </c>
      <c r="E260" s="59" t="str">
        <f>+COMPRAS!Q1063</f>
        <v>5.2.01.02.011</v>
      </c>
      <c r="F260" s="60">
        <f>+COMPRAS!J1063+COMPRAS!J1064+COMPRAS!J1065+COMPRAS!I1066+COMPRAS!I1067+COMPRAS!I1068-COMPRAS!M1063-COMPRAS!M1064-COMPRAS!M1065-COMPRAS!M1066-COMPRAS!M1067-COMPRAS!M1068</f>
        <v>289.52</v>
      </c>
      <c r="G260" s="60"/>
      <c r="H260" s="148"/>
      <c r="I260" s="150"/>
      <c r="J260" s="151"/>
    </row>
    <row r="261" spans="1:10" x14ac:dyDescent="0.25">
      <c r="A261" s="142"/>
      <c r="B261" s="145"/>
      <c r="C261" s="145"/>
      <c r="D261" s="59" t="s">
        <v>194</v>
      </c>
      <c r="E261" s="59" t="s">
        <v>56</v>
      </c>
      <c r="F261" s="60">
        <f>+COMPRAS!E1073</f>
        <v>90.427115999999984</v>
      </c>
      <c r="G261" s="60"/>
      <c r="H261" s="148"/>
      <c r="I261" s="150"/>
      <c r="J261" s="151"/>
    </row>
    <row r="262" spans="1:10" x14ac:dyDescent="0.25">
      <c r="A262" s="142"/>
      <c r="B262" s="145"/>
      <c r="C262" s="145"/>
      <c r="D262" s="59" t="str">
        <f>+COMPRAS!E1079</f>
        <v>Retencion IVA por pagar 70%</v>
      </c>
      <c r="E262" s="59" t="str">
        <f>+COMPRAS!D1079</f>
        <v>2.1.01.07.005</v>
      </c>
      <c r="F262" s="60"/>
      <c r="G262" s="60">
        <f>+COMPRAS!L1079</f>
        <v>63.298981199999986</v>
      </c>
      <c r="H262" s="148"/>
      <c r="I262" s="150"/>
      <c r="J262" s="151"/>
    </row>
    <row r="263" spans="1:10" x14ac:dyDescent="0.25">
      <c r="A263" s="142"/>
      <c r="B263" s="145"/>
      <c r="C263" s="145"/>
      <c r="D263" s="59" t="str">
        <f>+COMPRAS!E1080</f>
        <v>Impuesto a la renta por pagar 1%</v>
      </c>
      <c r="E263" s="59" t="str">
        <f>+COMPRAS!D1080</f>
        <v>2.1.01.06.001</v>
      </c>
      <c r="F263" s="60"/>
      <c r="G263" s="60">
        <f>+COMPRAS!L1080</f>
        <v>8.4155930000000012</v>
      </c>
      <c r="H263" s="148"/>
      <c r="I263" s="150"/>
      <c r="J263" s="151"/>
    </row>
    <row r="264" spans="1:10" x14ac:dyDescent="0.25">
      <c r="A264" s="142"/>
      <c r="B264" s="145"/>
      <c r="C264" s="145"/>
      <c r="D264" s="59" t="s">
        <v>85</v>
      </c>
      <c r="E264" s="59"/>
      <c r="F264" s="60"/>
      <c r="G264" s="60">
        <f>+COMPRAS!N1079</f>
        <v>860.27184179999995</v>
      </c>
      <c r="H264" s="148"/>
      <c r="I264" s="150"/>
      <c r="J264" s="151"/>
    </row>
    <row r="265" spans="1:10" x14ac:dyDescent="0.25">
      <c r="A265" s="152">
        <v>74</v>
      </c>
      <c r="B265" s="154">
        <f>+B259</f>
        <v>43511</v>
      </c>
      <c r="C265" s="156" t="str">
        <f>+C259</f>
        <v>FACTURA COMPRA # 40</v>
      </c>
      <c r="D265" s="61" t="s">
        <v>85</v>
      </c>
      <c r="E265" s="61"/>
      <c r="F265" s="62">
        <f>+COMPRAS!N1079</f>
        <v>860.27184179999995</v>
      </c>
      <c r="G265" s="62"/>
      <c r="H265" s="158">
        <f>+SUM(F265:F266)</f>
        <v>860.27184179999995</v>
      </c>
      <c r="I265" s="160">
        <f>+SUM(G265:G266)</f>
        <v>860.27184179999995</v>
      </c>
      <c r="J265" s="151"/>
    </row>
    <row r="266" spans="1:10" ht="15.75" thickBot="1" x14ac:dyDescent="0.3">
      <c r="A266" s="153"/>
      <c r="B266" s="155"/>
      <c r="C266" s="157"/>
      <c r="D266" s="69" t="str">
        <f>+COMPRAS!C1085</f>
        <v>Bancos XXX XXXX</v>
      </c>
      <c r="E266" s="65"/>
      <c r="F266" s="66"/>
      <c r="G266" s="66">
        <f>+COMPRAS!C1086</f>
        <v>860.27184179999995</v>
      </c>
      <c r="H266" s="159"/>
      <c r="I266" s="161"/>
      <c r="J266" s="151"/>
    </row>
    <row r="267" spans="1:10" x14ac:dyDescent="0.25">
      <c r="A267" s="141">
        <v>75</v>
      </c>
      <c r="B267" s="143">
        <f>+COMPRAS!C1099</f>
        <v>43511</v>
      </c>
      <c r="C267" s="146" t="str">
        <f>+COMPRAS!C1089</f>
        <v>FACTURA COMPRA # 41</v>
      </c>
      <c r="D267" s="63" t="s">
        <v>69</v>
      </c>
      <c r="E267" s="63" t="s">
        <v>46</v>
      </c>
      <c r="F267" s="64">
        <f>+COMPRAS!J1069-COMPRAS!M1069</f>
        <v>552.03930000000003</v>
      </c>
      <c r="G267" s="64"/>
      <c r="H267" s="147">
        <f>+SUM(F267:F272)</f>
        <v>931.98641599999996</v>
      </c>
      <c r="I267" s="149">
        <f>+SUM(G267:G272)</f>
        <v>931.98641599999996</v>
      </c>
      <c r="J267" s="151" t="s">
        <v>278</v>
      </c>
    </row>
    <row r="268" spans="1:10" x14ac:dyDescent="0.25">
      <c r="A268" s="142"/>
      <c r="B268" s="144"/>
      <c r="C268" s="145"/>
      <c r="D268" s="59" t="str">
        <f>+COMPRAS!P1063</f>
        <v>UTILES Y PAPELERIA</v>
      </c>
      <c r="E268" s="59" t="str">
        <f>+COMPRAS!Q1063</f>
        <v>5.2.01.02.011</v>
      </c>
      <c r="F268" s="60">
        <f>+COMPRAS!J1063+COMPRAS!J1064+COMPRAS!J1065+COMPRAS!I1066+COMPRAS!I1067+COMPRAS!I1068-COMPRAS!M1063-COMPRAS!M1064-COMPRAS!M1065-COMPRAS!M1066-COMPRAS!M1067-COMPRAS!M1068</f>
        <v>289.52</v>
      </c>
      <c r="G268" s="60"/>
      <c r="H268" s="148"/>
      <c r="I268" s="150"/>
      <c r="J268" s="151"/>
    </row>
    <row r="269" spans="1:10" x14ac:dyDescent="0.25">
      <c r="A269" s="142"/>
      <c r="B269" s="145"/>
      <c r="C269" s="145"/>
      <c r="D269" s="59" t="s">
        <v>194</v>
      </c>
      <c r="E269" s="59" t="s">
        <v>56</v>
      </c>
      <c r="F269" s="60">
        <f>+COMPRAS!E1102</f>
        <v>90.427115999999984</v>
      </c>
      <c r="G269" s="60"/>
      <c r="H269" s="148"/>
      <c r="I269" s="150"/>
      <c r="J269" s="151"/>
    </row>
    <row r="270" spans="1:10" x14ac:dyDescent="0.25">
      <c r="A270" s="142"/>
      <c r="B270" s="145"/>
      <c r="C270" s="145"/>
      <c r="D270" s="59" t="str">
        <f>+COMPRAS!E1108</f>
        <v>Retencion IVA por pagar 10%</v>
      </c>
      <c r="E270" s="59" t="str">
        <f>+COMPRAS!D1108</f>
        <v>2.1.01.07.001</v>
      </c>
      <c r="F270" s="60"/>
      <c r="G270" s="60">
        <f>+COMPRAS!L1108</f>
        <v>9.0427115999999987</v>
      </c>
      <c r="H270" s="148"/>
      <c r="I270" s="150"/>
      <c r="J270" s="151"/>
    </row>
    <row r="271" spans="1:10" x14ac:dyDescent="0.25">
      <c r="A271" s="142"/>
      <c r="B271" s="145"/>
      <c r="C271" s="145"/>
      <c r="D271" s="59" t="str">
        <f>+COMPRAS!E1109</f>
        <v>Impuesto a la renta por pagar 8%</v>
      </c>
      <c r="E271" s="59" t="str">
        <f>+COMPRAS!D1109</f>
        <v>2.1.01.06.003</v>
      </c>
      <c r="F271" s="60"/>
      <c r="G271" s="60">
        <f>+COMPRAS!L1109</f>
        <v>67.32474400000001</v>
      </c>
      <c r="H271" s="148"/>
      <c r="I271" s="150"/>
      <c r="J271" s="151"/>
    </row>
    <row r="272" spans="1:10" x14ac:dyDescent="0.25">
      <c r="A272" s="142"/>
      <c r="B272" s="145"/>
      <c r="C272" s="145"/>
      <c r="D272" s="59" t="s">
        <v>85</v>
      </c>
      <c r="E272" s="59"/>
      <c r="F272" s="60"/>
      <c r="G272" s="60">
        <f>+COMPRAS!N1108</f>
        <v>855.61896039999999</v>
      </c>
      <c r="H272" s="148"/>
      <c r="I272" s="150"/>
      <c r="J272" s="151"/>
    </row>
    <row r="273" spans="1:10" x14ac:dyDescent="0.25">
      <c r="A273" s="152">
        <v>76</v>
      </c>
      <c r="B273" s="154">
        <f>+B267</f>
        <v>43511</v>
      </c>
      <c r="C273" s="156" t="str">
        <f>+C267</f>
        <v>FACTURA COMPRA # 41</v>
      </c>
      <c r="D273" s="61" t="s">
        <v>85</v>
      </c>
      <c r="E273" s="61"/>
      <c r="F273" s="62">
        <f>+COMPRAS!N1108</f>
        <v>855.61896039999999</v>
      </c>
      <c r="G273" s="62"/>
      <c r="H273" s="158">
        <f>+SUM(F273:F276)</f>
        <v>855.61896039999999</v>
      </c>
      <c r="I273" s="160">
        <f>+SUM(G273:G276)</f>
        <v>855.61896040000011</v>
      </c>
      <c r="J273" s="151"/>
    </row>
    <row r="274" spans="1:10" x14ac:dyDescent="0.25">
      <c r="A274" s="152"/>
      <c r="B274" s="154"/>
      <c r="C274" s="156"/>
      <c r="D274" s="70" t="str">
        <f>+COMPRAS!C1114</f>
        <v>Bancos XXX XXXX</v>
      </c>
      <c r="E274" s="61"/>
      <c r="F274" s="62"/>
      <c r="G274" s="62">
        <f>+COMPRAS!C1115</f>
        <v>256.68568812000001</v>
      </c>
      <c r="H274" s="158"/>
      <c r="I274" s="160"/>
      <c r="J274" s="151"/>
    </row>
    <row r="275" spans="1:10" x14ac:dyDescent="0.25">
      <c r="A275" s="152"/>
      <c r="B275" s="154"/>
      <c r="C275" s="156"/>
      <c r="D275" s="70" t="str">
        <f>+COMPRAS!C1116</f>
        <v>Bancos XYZ XYZ</v>
      </c>
      <c r="E275" s="61"/>
      <c r="F275" s="62"/>
      <c r="G275" s="62">
        <f>+COMPRAS!C1117</f>
        <v>256.68568812000001</v>
      </c>
      <c r="H275" s="158"/>
      <c r="I275" s="160"/>
      <c r="J275" s="151"/>
    </row>
    <row r="276" spans="1:10" ht="15.75" thickBot="1" x14ac:dyDescent="0.3">
      <c r="A276" s="153"/>
      <c r="B276" s="155"/>
      <c r="C276" s="157"/>
      <c r="D276" s="69" t="str">
        <f>+COMPRAS!C1119</f>
        <v>Caja General</v>
      </c>
      <c r="E276" s="65"/>
      <c r="F276" s="66"/>
      <c r="G276" s="66">
        <f>+COMPRAS!C1120</f>
        <v>342.24758416000003</v>
      </c>
      <c r="H276" s="159"/>
      <c r="I276" s="161"/>
      <c r="J276" s="151"/>
    </row>
    <row r="277" spans="1:10" x14ac:dyDescent="0.25">
      <c r="A277" s="141">
        <v>77</v>
      </c>
      <c r="B277" s="143">
        <f>+COMPRAS!C1133</f>
        <v>43511</v>
      </c>
      <c r="C277" s="146" t="str">
        <f>+COMPRAS!C1123</f>
        <v>FACTURA COMPRA # 42</v>
      </c>
      <c r="D277" s="63" t="s">
        <v>69</v>
      </c>
      <c r="E277" s="63" t="s">
        <v>46</v>
      </c>
      <c r="F277" s="64">
        <f>+COMPRAS!J1069-COMPRAS!M1069</f>
        <v>552.03930000000003</v>
      </c>
      <c r="G277" s="64"/>
      <c r="H277" s="147">
        <f>+SUM(F277:F282)</f>
        <v>931.98641599999996</v>
      </c>
      <c r="I277" s="149">
        <f>+SUM(G277:G282)</f>
        <v>931.98641599999996</v>
      </c>
      <c r="J277" s="151" t="s">
        <v>278</v>
      </c>
    </row>
    <row r="278" spans="1:10" x14ac:dyDescent="0.25">
      <c r="A278" s="142"/>
      <c r="B278" s="144"/>
      <c r="C278" s="145"/>
      <c r="D278" s="59" t="str">
        <f>+COMPRAS!P1063</f>
        <v>UTILES Y PAPELERIA</v>
      </c>
      <c r="E278" s="59" t="str">
        <f>+COMPRAS!Q1063</f>
        <v>5.2.01.02.011</v>
      </c>
      <c r="F278" s="60">
        <f>+COMPRAS!J1063+COMPRAS!J1064+COMPRAS!J1065+COMPRAS!I1066+COMPRAS!I1067+COMPRAS!I1068-COMPRAS!M1063-COMPRAS!M1064-COMPRAS!M1065-COMPRAS!M1066-COMPRAS!M1067-COMPRAS!M1068</f>
        <v>289.52</v>
      </c>
      <c r="G278" s="60"/>
      <c r="H278" s="148"/>
      <c r="I278" s="150"/>
      <c r="J278" s="151"/>
    </row>
    <row r="279" spans="1:10" x14ac:dyDescent="0.25">
      <c r="A279" s="142"/>
      <c r="B279" s="145"/>
      <c r="C279" s="145"/>
      <c r="D279" s="59" t="s">
        <v>194</v>
      </c>
      <c r="E279" s="59" t="s">
        <v>56</v>
      </c>
      <c r="F279" s="60">
        <f>+COMPRAS!E1136</f>
        <v>90.427115999999984</v>
      </c>
      <c r="G279" s="60"/>
      <c r="H279" s="148"/>
      <c r="I279" s="150"/>
      <c r="J279" s="151"/>
    </row>
    <row r="280" spans="1:10" x14ac:dyDescent="0.25">
      <c r="A280" s="142"/>
      <c r="B280" s="145"/>
      <c r="C280" s="145"/>
      <c r="D280" s="59" t="str">
        <f>+COMPRAS!E1142</f>
        <v>Retencion IVA por pagar 20%</v>
      </c>
      <c r="E280" s="59" t="str">
        <f>+COMPRAS!D1142</f>
        <v>2.1.01.07.002</v>
      </c>
      <c r="F280" s="60"/>
      <c r="G280" s="60">
        <f>+COMPRAS!L1142</f>
        <v>90.427115999999984</v>
      </c>
      <c r="H280" s="148"/>
      <c r="I280" s="150"/>
      <c r="J280" s="151"/>
    </row>
    <row r="281" spans="1:10" x14ac:dyDescent="0.25">
      <c r="A281" s="142"/>
      <c r="B281" s="145"/>
      <c r="C281" s="145"/>
      <c r="D281" s="59" t="str">
        <f>+COMPRAS!E1143</f>
        <v>Impuesto a la renta por pagar 2%</v>
      </c>
      <c r="E281" s="59" t="str">
        <f>+COMPRAS!D1143</f>
        <v>2.1.01.06.002</v>
      </c>
      <c r="F281" s="60"/>
      <c r="G281" s="60">
        <f>+COMPRAS!L1143</f>
        <v>16.831186000000002</v>
      </c>
      <c r="H281" s="148"/>
      <c r="I281" s="150"/>
      <c r="J281" s="151"/>
    </row>
    <row r="282" spans="1:10" x14ac:dyDescent="0.25">
      <c r="A282" s="142"/>
      <c r="B282" s="145"/>
      <c r="C282" s="145"/>
      <c r="D282" s="59" t="s">
        <v>85</v>
      </c>
      <c r="E282" s="59"/>
      <c r="F282" s="60"/>
      <c r="G282" s="60">
        <f>+COMPRAS!N1142</f>
        <v>824.72811400000001</v>
      </c>
      <c r="H282" s="148"/>
      <c r="I282" s="150"/>
      <c r="J282" s="151"/>
    </row>
    <row r="283" spans="1:10" x14ac:dyDescent="0.25">
      <c r="A283" s="152">
        <v>78</v>
      </c>
      <c r="B283" s="154">
        <f>+B277</f>
        <v>43511</v>
      </c>
      <c r="C283" s="156" t="str">
        <f>+C277</f>
        <v>FACTURA COMPRA # 42</v>
      </c>
      <c r="D283" s="61" t="s">
        <v>85</v>
      </c>
      <c r="E283" s="61"/>
      <c r="F283" s="62">
        <f>+COMPRAS!C1149</f>
        <v>494.83686839999996</v>
      </c>
      <c r="G283" s="62"/>
      <c r="H283" s="158">
        <f>+SUM(F283:F284)</f>
        <v>494.83686839999996</v>
      </c>
      <c r="I283" s="160">
        <f>+SUM(G283:G284)</f>
        <v>494.83686839999996</v>
      </c>
      <c r="J283" s="151"/>
    </row>
    <row r="284" spans="1:10" ht="15.75" thickBot="1" x14ac:dyDescent="0.3">
      <c r="A284" s="153"/>
      <c r="B284" s="155"/>
      <c r="C284" s="157"/>
      <c r="D284" s="69" t="str">
        <f>+COMPRAS!C1148</f>
        <v>Bancos XXX XXXX</v>
      </c>
      <c r="E284" s="65"/>
      <c r="F284" s="66"/>
      <c r="G284" s="66">
        <f>+COMPRAS!C1149</f>
        <v>494.83686839999996</v>
      </c>
      <c r="H284" s="159"/>
      <c r="I284" s="161"/>
      <c r="J284" s="151"/>
    </row>
  </sheetData>
  <mergeCells count="432">
    <mergeCell ref="A277:A282"/>
    <mergeCell ref="B277:B282"/>
    <mergeCell ref="C277:C282"/>
    <mergeCell ref="H277:H282"/>
    <mergeCell ref="I277:I282"/>
    <mergeCell ref="J277:J284"/>
    <mergeCell ref="A283:A284"/>
    <mergeCell ref="B283:B284"/>
    <mergeCell ref="C283:C284"/>
    <mergeCell ref="H283:H284"/>
    <mergeCell ref="I283:I284"/>
    <mergeCell ref="A267:A272"/>
    <mergeCell ref="B267:B272"/>
    <mergeCell ref="C267:C272"/>
    <mergeCell ref="H267:H272"/>
    <mergeCell ref="I267:I272"/>
    <mergeCell ref="J267:J276"/>
    <mergeCell ref="A273:A276"/>
    <mergeCell ref="B273:B276"/>
    <mergeCell ref="C273:C276"/>
    <mergeCell ref="H273:H276"/>
    <mergeCell ref="I273:I276"/>
    <mergeCell ref="A257:A258"/>
    <mergeCell ref="B257:B258"/>
    <mergeCell ref="C257:C258"/>
    <mergeCell ref="H257:H258"/>
    <mergeCell ref="I257:I258"/>
    <mergeCell ref="J251:J258"/>
    <mergeCell ref="A259:A264"/>
    <mergeCell ref="B259:B264"/>
    <mergeCell ref="C259:C264"/>
    <mergeCell ref="H259:H264"/>
    <mergeCell ref="I259:I264"/>
    <mergeCell ref="J259:J266"/>
    <mergeCell ref="A265:A266"/>
    <mergeCell ref="B265:B266"/>
    <mergeCell ref="C265:C266"/>
    <mergeCell ref="H265:H266"/>
    <mergeCell ref="I265:I266"/>
    <mergeCell ref="A249:A250"/>
    <mergeCell ref="B249:B250"/>
    <mergeCell ref="C249:C250"/>
    <mergeCell ref="H249:H250"/>
    <mergeCell ref="I249:I250"/>
    <mergeCell ref="J237:J242"/>
    <mergeCell ref="J243:J250"/>
    <mergeCell ref="A251:A256"/>
    <mergeCell ref="B251:B256"/>
    <mergeCell ref="C251:C256"/>
    <mergeCell ref="H251:H256"/>
    <mergeCell ref="I251:I256"/>
    <mergeCell ref="A237:A242"/>
    <mergeCell ref="B237:B242"/>
    <mergeCell ref="C237:C242"/>
    <mergeCell ref="H237:H242"/>
    <mergeCell ref="I237:I242"/>
    <mergeCell ref="A243:A248"/>
    <mergeCell ref="B243:B248"/>
    <mergeCell ref="C243:C248"/>
    <mergeCell ref="H243:H248"/>
    <mergeCell ref="I243:I248"/>
    <mergeCell ref="J159:J166"/>
    <mergeCell ref="J167:J174"/>
    <mergeCell ref="J175:J182"/>
    <mergeCell ref="J183:J192"/>
    <mergeCell ref="J193:J200"/>
    <mergeCell ref="J126:J130"/>
    <mergeCell ref="J131:J135"/>
    <mergeCell ref="J136:J140"/>
    <mergeCell ref="J141:J147"/>
    <mergeCell ref="J148:J152"/>
    <mergeCell ref="J153:J158"/>
    <mergeCell ref="J93:J99"/>
    <mergeCell ref="J100:J106"/>
    <mergeCell ref="J107:J115"/>
    <mergeCell ref="J116:J122"/>
    <mergeCell ref="J123:J125"/>
    <mergeCell ref="J64:J68"/>
    <mergeCell ref="J69:J75"/>
    <mergeCell ref="J76:J80"/>
    <mergeCell ref="J81:J85"/>
    <mergeCell ref="J86:J92"/>
    <mergeCell ref="J35:J43"/>
    <mergeCell ref="J44:J50"/>
    <mergeCell ref="J51:J53"/>
    <mergeCell ref="J54:J58"/>
    <mergeCell ref="J59:J63"/>
    <mergeCell ref="A199:A200"/>
    <mergeCell ref="B199:B200"/>
    <mergeCell ref="C199:C200"/>
    <mergeCell ref="H199:H200"/>
    <mergeCell ref="I199:I200"/>
    <mergeCell ref="A193:A198"/>
    <mergeCell ref="B193:B198"/>
    <mergeCell ref="C193:C198"/>
    <mergeCell ref="H193:H198"/>
    <mergeCell ref="I193:I198"/>
    <mergeCell ref="A175:A180"/>
    <mergeCell ref="B175:B180"/>
    <mergeCell ref="C175:C180"/>
    <mergeCell ref="H175:H180"/>
    <mergeCell ref="I175:I180"/>
    <mergeCell ref="A165:A166"/>
    <mergeCell ref="B165:B166"/>
    <mergeCell ref="C165:C166"/>
    <mergeCell ref="H165:H166"/>
    <mergeCell ref="J9:J13"/>
    <mergeCell ref="J14:J20"/>
    <mergeCell ref="J21:J27"/>
    <mergeCell ref="J28:J34"/>
    <mergeCell ref="A189:A192"/>
    <mergeCell ref="B189:B192"/>
    <mergeCell ref="C189:C192"/>
    <mergeCell ref="H189:H192"/>
    <mergeCell ref="I189:I192"/>
    <mergeCell ref="A181:A182"/>
    <mergeCell ref="B181:B182"/>
    <mergeCell ref="C181:C182"/>
    <mergeCell ref="H181:H182"/>
    <mergeCell ref="I181:I182"/>
    <mergeCell ref="A183:A188"/>
    <mergeCell ref="B183:B188"/>
    <mergeCell ref="C183:C188"/>
    <mergeCell ref="H183:H188"/>
    <mergeCell ref="I183:I188"/>
    <mergeCell ref="A173:A174"/>
    <mergeCell ref="B173:B174"/>
    <mergeCell ref="C173:C174"/>
    <mergeCell ref="H173:H174"/>
    <mergeCell ref="I173:I174"/>
    <mergeCell ref="I165:I166"/>
    <mergeCell ref="A167:A172"/>
    <mergeCell ref="B167:B172"/>
    <mergeCell ref="C167:C172"/>
    <mergeCell ref="H167:H172"/>
    <mergeCell ref="I167:I172"/>
    <mergeCell ref="A153:A158"/>
    <mergeCell ref="B153:B158"/>
    <mergeCell ref="C153:C158"/>
    <mergeCell ref="H153:H158"/>
    <mergeCell ref="I153:I158"/>
    <mergeCell ref="A159:A164"/>
    <mergeCell ref="B159:B164"/>
    <mergeCell ref="C159:C164"/>
    <mergeCell ref="H159:H164"/>
    <mergeCell ref="I159:I164"/>
    <mergeCell ref="A148:A150"/>
    <mergeCell ref="B148:B150"/>
    <mergeCell ref="C148:C150"/>
    <mergeCell ref="H148:H150"/>
    <mergeCell ref="I148:I150"/>
    <mergeCell ref="A151:A152"/>
    <mergeCell ref="B151:B152"/>
    <mergeCell ref="C151:C152"/>
    <mergeCell ref="H151:H152"/>
    <mergeCell ref="I151:I152"/>
    <mergeCell ref="A141:A143"/>
    <mergeCell ref="B141:B143"/>
    <mergeCell ref="C141:C143"/>
    <mergeCell ref="H141:H143"/>
    <mergeCell ref="I141:I143"/>
    <mergeCell ref="A144:A147"/>
    <mergeCell ref="B144:B147"/>
    <mergeCell ref="C144:C147"/>
    <mergeCell ref="H144:H147"/>
    <mergeCell ref="I144:I147"/>
    <mergeCell ref="A136:A138"/>
    <mergeCell ref="B136:B138"/>
    <mergeCell ref="C136:C138"/>
    <mergeCell ref="H136:H138"/>
    <mergeCell ref="I136:I138"/>
    <mergeCell ref="A139:A140"/>
    <mergeCell ref="B139:B140"/>
    <mergeCell ref="C139:C140"/>
    <mergeCell ref="H139:H140"/>
    <mergeCell ref="I139:I140"/>
    <mergeCell ref="A131:A133"/>
    <mergeCell ref="B131:B133"/>
    <mergeCell ref="C131:C133"/>
    <mergeCell ref="H131:H133"/>
    <mergeCell ref="I131:I133"/>
    <mergeCell ref="A134:A135"/>
    <mergeCell ref="B134:B135"/>
    <mergeCell ref="C134:C135"/>
    <mergeCell ref="H134:H135"/>
    <mergeCell ref="I134:I135"/>
    <mergeCell ref="A126:A128"/>
    <mergeCell ref="B126:B128"/>
    <mergeCell ref="C126:C128"/>
    <mergeCell ref="H126:H128"/>
    <mergeCell ref="I126:I128"/>
    <mergeCell ref="A129:A130"/>
    <mergeCell ref="B129:B130"/>
    <mergeCell ref="C129:C130"/>
    <mergeCell ref="H129:H130"/>
    <mergeCell ref="I129:I130"/>
    <mergeCell ref="A121:A122"/>
    <mergeCell ref="B121:B122"/>
    <mergeCell ref="C121:C122"/>
    <mergeCell ref="H121:H122"/>
    <mergeCell ref="I121:I122"/>
    <mergeCell ref="A123:A125"/>
    <mergeCell ref="B123:B125"/>
    <mergeCell ref="C123:C125"/>
    <mergeCell ref="H123:H125"/>
    <mergeCell ref="I123:I125"/>
    <mergeCell ref="A112:A115"/>
    <mergeCell ref="B112:B115"/>
    <mergeCell ref="C112:C115"/>
    <mergeCell ref="H112:H115"/>
    <mergeCell ref="I112:I115"/>
    <mergeCell ref="A116:A120"/>
    <mergeCell ref="B116:B120"/>
    <mergeCell ref="C116:C120"/>
    <mergeCell ref="H116:H120"/>
    <mergeCell ref="I116:I120"/>
    <mergeCell ref="A105:A106"/>
    <mergeCell ref="B105:B106"/>
    <mergeCell ref="C105:C106"/>
    <mergeCell ref="H105:H106"/>
    <mergeCell ref="I105:I106"/>
    <mergeCell ref="A107:A111"/>
    <mergeCell ref="B107:B111"/>
    <mergeCell ref="C107:C111"/>
    <mergeCell ref="H107:H111"/>
    <mergeCell ref="I107:I111"/>
    <mergeCell ref="A98:A99"/>
    <mergeCell ref="B98:B99"/>
    <mergeCell ref="C98:C99"/>
    <mergeCell ref="H98:H99"/>
    <mergeCell ref="I98:I99"/>
    <mergeCell ref="A100:A104"/>
    <mergeCell ref="B100:B104"/>
    <mergeCell ref="C100:C104"/>
    <mergeCell ref="H100:H104"/>
    <mergeCell ref="I100:I104"/>
    <mergeCell ref="A91:A92"/>
    <mergeCell ref="B91:B92"/>
    <mergeCell ref="C91:C92"/>
    <mergeCell ref="H91:H92"/>
    <mergeCell ref="I91:I92"/>
    <mergeCell ref="A93:A97"/>
    <mergeCell ref="B93:B97"/>
    <mergeCell ref="C93:C97"/>
    <mergeCell ref="H93:H97"/>
    <mergeCell ref="I93:I97"/>
    <mergeCell ref="A81:A85"/>
    <mergeCell ref="B81:B85"/>
    <mergeCell ref="C81:C85"/>
    <mergeCell ref="H81:H85"/>
    <mergeCell ref="I81:I85"/>
    <mergeCell ref="A86:A90"/>
    <mergeCell ref="B86:B90"/>
    <mergeCell ref="C86:C90"/>
    <mergeCell ref="H86:H90"/>
    <mergeCell ref="I86:I90"/>
    <mergeCell ref="A76:A78"/>
    <mergeCell ref="B76:B78"/>
    <mergeCell ref="C76:C78"/>
    <mergeCell ref="H76:H78"/>
    <mergeCell ref="I76:I78"/>
    <mergeCell ref="A79:A80"/>
    <mergeCell ref="B79:B80"/>
    <mergeCell ref="C79:C80"/>
    <mergeCell ref="H79:H80"/>
    <mergeCell ref="I79:I80"/>
    <mergeCell ref="A69:A71"/>
    <mergeCell ref="B69:B71"/>
    <mergeCell ref="C69:C71"/>
    <mergeCell ref="H69:H71"/>
    <mergeCell ref="I69:I71"/>
    <mergeCell ref="A72:A75"/>
    <mergeCell ref="B72:B75"/>
    <mergeCell ref="C72:C75"/>
    <mergeCell ref="H72:H75"/>
    <mergeCell ref="I72:I75"/>
    <mergeCell ref="A64:A66"/>
    <mergeCell ref="B64:B66"/>
    <mergeCell ref="C64:C66"/>
    <mergeCell ref="H64:H66"/>
    <mergeCell ref="I64:I66"/>
    <mergeCell ref="A67:A68"/>
    <mergeCell ref="B67:B68"/>
    <mergeCell ref="C67:C68"/>
    <mergeCell ref="H67:H68"/>
    <mergeCell ref="I67:I68"/>
    <mergeCell ref="A59:A61"/>
    <mergeCell ref="B59:B61"/>
    <mergeCell ref="C59:C61"/>
    <mergeCell ref="H59:H61"/>
    <mergeCell ref="I59:I61"/>
    <mergeCell ref="A62:A63"/>
    <mergeCell ref="B62:B63"/>
    <mergeCell ref="C62:C63"/>
    <mergeCell ref="H62:H63"/>
    <mergeCell ref="I62:I63"/>
    <mergeCell ref="A54:A56"/>
    <mergeCell ref="B54:B56"/>
    <mergeCell ref="C54:C56"/>
    <mergeCell ref="H54:H56"/>
    <mergeCell ref="I54:I56"/>
    <mergeCell ref="A57:A58"/>
    <mergeCell ref="B57:B58"/>
    <mergeCell ref="C57:C58"/>
    <mergeCell ref="H57:H58"/>
    <mergeCell ref="I57:I58"/>
    <mergeCell ref="A49:A50"/>
    <mergeCell ref="B49:B50"/>
    <mergeCell ref="C49:C50"/>
    <mergeCell ref="H49:H50"/>
    <mergeCell ref="I49:I50"/>
    <mergeCell ref="A51:A53"/>
    <mergeCell ref="B51:B53"/>
    <mergeCell ref="C51:C53"/>
    <mergeCell ref="H51:H53"/>
    <mergeCell ref="I51:I53"/>
    <mergeCell ref="A40:A43"/>
    <mergeCell ref="B40:B43"/>
    <mergeCell ref="C40:C43"/>
    <mergeCell ref="H40:H43"/>
    <mergeCell ref="I40:I43"/>
    <mergeCell ref="A44:A48"/>
    <mergeCell ref="B44:B48"/>
    <mergeCell ref="C44:C48"/>
    <mergeCell ref="H44:H48"/>
    <mergeCell ref="I44:I48"/>
    <mergeCell ref="A33:A34"/>
    <mergeCell ref="B33:B34"/>
    <mergeCell ref="C33:C34"/>
    <mergeCell ref="H33:H34"/>
    <mergeCell ref="I33:I34"/>
    <mergeCell ref="A35:A39"/>
    <mergeCell ref="B35:B39"/>
    <mergeCell ref="C35:C39"/>
    <mergeCell ref="H35:H39"/>
    <mergeCell ref="I35:I39"/>
    <mergeCell ref="A26:A27"/>
    <mergeCell ref="B26:B27"/>
    <mergeCell ref="C26:C27"/>
    <mergeCell ref="H26:H27"/>
    <mergeCell ref="I26:I27"/>
    <mergeCell ref="A28:A32"/>
    <mergeCell ref="B28:B32"/>
    <mergeCell ref="C28:C32"/>
    <mergeCell ref="H28:H32"/>
    <mergeCell ref="I28:I32"/>
    <mergeCell ref="A19:A20"/>
    <mergeCell ref="B19:B20"/>
    <mergeCell ref="C19:C20"/>
    <mergeCell ref="H19:H20"/>
    <mergeCell ref="I19:I20"/>
    <mergeCell ref="A21:A25"/>
    <mergeCell ref="B21:B25"/>
    <mergeCell ref="C21:C25"/>
    <mergeCell ref="H21:H25"/>
    <mergeCell ref="I21:I25"/>
    <mergeCell ref="A14:A18"/>
    <mergeCell ref="B14:B18"/>
    <mergeCell ref="C14:C18"/>
    <mergeCell ref="H14:H18"/>
    <mergeCell ref="I14:I18"/>
    <mergeCell ref="A2:A8"/>
    <mergeCell ref="B2:B8"/>
    <mergeCell ref="C2:C8"/>
    <mergeCell ref="H2:H8"/>
    <mergeCell ref="I2:I8"/>
    <mergeCell ref="A9:A13"/>
    <mergeCell ref="B9:B13"/>
    <mergeCell ref="C9:C13"/>
    <mergeCell ref="H9:H13"/>
    <mergeCell ref="I9:I13"/>
    <mergeCell ref="A201:A204"/>
    <mergeCell ref="B201:B204"/>
    <mergeCell ref="C201:C204"/>
    <mergeCell ref="H201:H204"/>
    <mergeCell ref="I201:I204"/>
    <mergeCell ref="J201:J204"/>
    <mergeCell ref="A205:A208"/>
    <mergeCell ref="B205:B208"/>
    <mergeCell ref="C205:C208"/>
    <mergeCell ref="H205:H208"/>
    <mergeCell ref="I205:I208"/>
    <mergeCell ref="J205:J210"/>
    <mergeCell ref="A209:A210"/>
    <mergeCell ref="B209:B210"/>
    <mergeCell ref="C209:C210"/>
    <mergeCell ref="H209:H210"/>
    <mergeCell ref="I209:I210"/>
    <mergeCell ref="A211:A214"/>
    <mergeCell ref="B211:B214"/>
    <mergeCell ref="C211:C214"/>
    <mergeCell ref="H211:H214"/>
    <mergeCell ref="I211:I214"/>
    <mergeCell ref="J211:J216"/>
    <mergeCell ref="A215:A216"/>
    <mergeCell ref="B215:B216"/>
    <mergeCell ref="C215:C216"/>
    <mergeCell ref="H215:H216"/>
    <mergeCell ref="I215:I216"/>
    <mergeCell ref="A217:A220"/>
    <mergeCell ref="B217:B220"/>
    <mergeCell ref="C217:C220"/>
    <mergeCell ref="H217:H220"/>
    <mergeCell ref="I217:I220"/>
    <mergeCell ref="J217:J222"/>
    <mergeCell ref="A221:A222"/>
    <mergeCell ref="B221:B222"/>
    <mergeCell ref="C221:C222"/>
    <mergeCell ref="H221:H222"/>
    <mergeCell ref="I221:I222"/>
    <mergeCell ref="A223:A226"/>
    <mergeCell ref="B223:B226"/>
    <mergeCell ref="C223:C226"/>
    <mergeCell ref="H223:H226"/>
    <mergeCell ref="I223:I226"/>
    <mergeCell ref="J223:J230"/>
    <mergeCell ref="A227:A230"/>
    <mergeCell ref="B227:B230"/>
    <mergeCell ref="C227:C230"/>
    <mergeCell ref="H227:H230"/>
    <mergeCell ref="I227:I230"/>
    <mergeCell ref="A231:A234"/>
    <mergeCell ref="B231:B234"/>
    <mergeCell ref="C231:C234"/>
    <mergeCell ref="H231:H234"/>
    <mergeCell ref="I231:I234"/>
    <mergeCell ref="J231:J236"/>
    <mergeCell ref="A235:A236"/>
    <mergeCell ref="B235:B236"/>
    <mergeCell ref="C235:C236"/>
    <mergeCell ref="H235:H236"/>
    <mergeCell ref="I235:I236"/>
  </mergeCells>
  <hyperlinks>
    <hyperlink ref="J9:J13" location="FACTURA_COMPRA___1" display="VOLVER A FACTURA" xr:uid="{EAEC3C3A-1568-4DB3-A05E-8508B97A1F80}"/>
    <hyperlink ref="J14:J20" location="FACTURA_COMPRA___2" display="VOLVER A FACTURA" xr:uid="{4A81F861-BFF5-46A1-9AD0-965CCFD9DD66}"/>
    <hyperlink ref="J21:J27" location="FACTURA_COMPRA___3" display="VOLVER A FACTURA" xr:uid="{364BCE78-5AD0-470D-9ECE-00779B3F73EF}"/>
    <hyperlink ref="J28:J34" location="FACTURA_COMPRA___4" display="VOLVER A FACTURA" xr:uid="{0CB1D9B7-1539-43C8-BBCC-CD17352D5B51}"/>
    <hyperlink ref="J35:J43" location="FACTURA_COMPRA___5" display="VOLVER A FACTURA" xr:uid="{0E754E6B-6C0F-4861-A9A5-6078AE03568A}"/>
    <hyperlink ref="J44:J50" location="FACTURA_COMPRA___6" display="VOLVER A FACTURA" xr:uid="{1347F324-A171-4A0D-B081-C1BDA811040A}"/>
    <hyperlink ref="J51:J53" location="FACTURA_COMPRA___7" display="VOLVER A FACTURA" xr:uid="{B5A1A241-DE36-4F82-9928-498216094ABB}"/>
    <hyperlink ref="J54:J58" location="FACTURA_COMPRA___8" display="VOLVER A FACTURA" xr:uid="{F8D1F5EF-487D-4160-96F7-18DB0E30B0D7}"/>
    <hyperlink ref="J59:J63" location="FACTURA_COMPRA___9" display="VOLVER A FACTURA" xr:uid="{4D85CF0E-3956-4FD6-BC23-06F478F7CC59}"/>
    <hyperlink ref="J64:J68" location="FACTURA_COMPRA___10" display="VOLVER A FACTURA" xr:uid="{534D7DD7-E85C-41FD-B0B4-3FC0522077F8}"/>
    <hyperlink ref="J69:J75" location="FACTURA_COMPRA___11" display="VOLVER A FACTURA" xr:uid="{75888478-1368-42A7-9B24-26592DA42D8B}"/>
    <hyperlink ref="J76:J80" location="FACTURA_COMPRA___12" display="VOLVER A FACTURA" xr:uid="{9AC5967E-839F-4AF7-BE36-DD3244E93387}"/>
    <hyperlink ref="J81:J85" location="FACTURA_COMPRA___13" display="VOLVER A FACTURA" xr:uid="{467B9DF6-3939-42AC-9ABD-3144ED9B0FB9}"/>
    <hyperlink ref="J86:J92" location="FACTURA_COMPRA___14" display="VOLVER A FACTURA" xr:uid="{6BBF0F89-81EB-421D-A08A-6DA0FC17042F}"/>
    <hyperlink ref="J93:J99" location="FACTURA_COMPRA___15" display="VOLVER A FACTURA" xr:uid="{9CD5516B-793E-45C5-8B2E-A86DC4E3E5F5}"/>
    <hyperlink ref="J100:J106" location="FACTURA_COMPRA___16" display="VOLVER A FACTURA" xr:uid="{4FEAB557-E8F7-4F58-8EC3-54A87F90BD86}"/>
    <hyperlink ref="J107:J115" location="FACTURA_COMPRA___17" display="VOLVER A FACTURA" xr:uid="{2E557E09-1995-434F-A606-9C8FFD2BA7E2}"/>
    <hyperlink ref="J116:J122" location="FACTURA_COMPRA___18" display="VOLVER A FACTURA" xr:uid="{FA966375-CB21-4FA0-B651-F326E62B3378}"/>
    <hyperlink ref="J123:J125" location="FACTURA_COMPRA___19" display="VOLVER A FACTURA" xr:uid="{218E480C-BBF3-42C4-A385-AABADA8AF166}"/>
    <hyperlink ref="J126:J130" location="FACTURA_COMPRA___20" display="VOLVER A FACTURA" xr:uid="{91A5DA35-9F8D-4A4E-9353-C28ED45E88A3}"/>
    <hyperlink ref="J131:J135" location="FACTURA_COMPRA___21" display="VOLVER A FACTURA" xr:uid="{331399B9-6DF5-4D2C-869F-FF8F33FB9BC2}"/>
    <hyperlink ref="J136:J140" location="FACTURA_COMPRA___22" display="VOLVER A FACTURA" xr:uid="{340A4000-6925-4CCF-B301-02DB69C554D7}"/>
    <hyperlink ref="J141:J147" location="FACTURA_COMPRA___23" display="VOLVER A FACTURA" xr:uid="{F8D2AC3A-27D9-43EA-9F1C-8978F9445C15}"/>
    <hyperlink ref="J148:J152" location="FACTURA_COMPRA___24" display="VOLVER A FACTURA" xr:uid="{ECBA8E4B-B1B3-4034-8BA8-48E8668E08A5}"/>
    <hyperlink ref="J153:J158" location="FACTURA_COMPRA___25" display="VOLVER A FACTURA" xr:uid="{5BDA73FF-AD19-406C-B003-2D8509ABEFE8}"/>
    <hyperlink ref="J159:J166" location="FACTURA_COMPRA___26" display="VOLVER A FACTURA" xr:uid="{25BFDE81-7A3F-48EC-8852-05001CE7F6D1}"/>
    <hyperlink ref="J167:J174" location="FACTURA_COMPRA___27" display="VOLVER A FACTURA" xr:uid="{1E7C9BB6-8876-4FCA-A19C-6D536F3AAD64}"/>
    <hyperlink ref="J175:J182" location="FACTURA_COMPRA___28" display="VOLVER A FACTURA" xr:uid="{63CD9660-B615-4D1C-8651-04A9B0B76AD0}"/>
    <hyperlink ref="J183:J192" location="FACTURA_COMPRA___29" display="VOLVER A FACTURA" xr:uid="{D18C9DC3-4629-4886-9662-00BCDDD8473A}"/>
    <hyperlink ref="J193:J200" location="FACTURA_COMPRA___30" display="VOLVER A FACTURA" xr:uid="{D5C92FBB-A2C1-4282-BCD9-770A5E2BBAC4}"/>
    <hyperlink ref="J201:J204" location="FACTURA_COMPRA___31" display="VOLVER A FACTURA" xr:uid="{64FAB6CB-C0BD-4075-88DD-B61F035F4AB2}"/>
    <hyperlink ref="J205:J210" location="FACTURA_COMPRA___32" display="VOLVER A FACTURA" xr:uid="{64A44438-5036-4AA3-93AD-2F8FE65F7B88}"/>
    <hyperlink ref="J211:J216" location="FACTURA_COMPRA___33" display="VOLVER A FACTURA" xr:uid="{E65EBD14-1837-47D3-87DB-3AA1C810D931}"/>
    <hyperlink ref="J217:J222" location="FACTURA_COMPRA___34" display="VOLVER A FACTURA" xr:uid="{25A1DA62-BB23-49D4-A0D8-14972B00DD3C}"/>
    <hyperlink ref="J223:J230" location="FACTURA_COMPRA___35" display="VOLVER A FACTURA" xr:uid="{1795776C-E173-438F-9D46-6FADE6BCC02A}"/>
    <hyperlink ref="J231:J236" location="FACTURA_COMPRA___36" display="VOLVER A FACTURA" xr:uid="{50CC3A8A-906B-442E-A77B-24A6BE232231}"/>
    <hyperlink ref="J237:J242" location="FACTURA_COMPRA___37" display="VOLVER A FACTURA" xr:uid="{6C76492C-967E-4C78-A821-A28D6C18BC7B}"/>
    <hyperlink ref="J243:J250" location="FACTURA_COMPRA___38" display="VOLVER A FACTURA" xr:uid="{75E1EC26-234C-40F6-9879-8498F39FB140}"/>
    <hyperlink ref="J251:J258" location="FACTURA_COMPRA___39" display="VOLVER A FACTURA" xr:uid="{3DD9740A-227C-49C2-9B18-F60EF2835EB7}"/>
    <hyperlink ref="J259:J266" location="FACTURA_COMPRA___40" display="VOLVER A FACTURA" xr:uid="{DB5290EA-710C-460B-8270-C6D4246B5A46}"/>
    <hyperlink ref="J267:J276" location="FACTURA_COMPRA___41" display="VOLVER A FACTURA" xr:uid="{50D8FC39-F715-4657-BD62-506B64D397D8}"/>
    <hyperlink ref="J277:J284" location="FACTURA_COMPRA___42" display="VOLVER A FACTURA" xr:uid="{8FC980BE-7313-460D-B2A8-C36062F4F3E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F0C7-849C-42EB-96EE-B5870FE40BA8}">
  <dimension ref="A1:K283"/>
  <sheetViews>
    <sheetView workbookViewId="0">
      <selection sqref="A1:I17"/>
    </sheetView>
  </sheetViews>
  <sheetFormatPr baseColWidth="10" defaultRowHeight="15" x14ac:dyDescent="0.25"/>
  <cols>
    <col min="3" max="3" width="27" bestFit="1" customWidth="1"/>
    <col min="4" max="4" width="30.140625" bestFit="1" customWidth="1"/>
    <col min="5" max="5" width="18.140625" bestFit="1" customWidth="1"/>
    <col min="6" max="7" width="13" bestFit="1" customWidth="1"/>
    <col min="9" max="9" width="12.85546875" bestFit="1" customWidth="1"/>
  </cols>
  <sheetData>
    <row r="1" spans="1:10" ht="15.75" thickBot="1" x14ac:dyDescent="0.3">
      <c r="A1" s="102" t="s">
        <v>183</v>
      </c>
      <c r="B1" s="102" t="s">
        <v>184</v>
      </c>
      <c r="C1" s="103" t="s">
        <v>185</v>
      </c>
      <c r="D1" s="102" t="s">
        <v>186</v>
      </c>
      <c r="E1" s="102" t="s">
        <v>187</v>
      </c>
      <c r="F1" s="102" t="s">
        <v>188</v>
      </c>
      <c r="G1" s="102" t="s">
        <v>189</v>
      </c>
      <c r="H1" s="102" t="s">
        <v>190</v>
      </c>
      <c r="I1" s="102" t="s">
        <v>191</v>
      </c>
    </row>
    <row r="2" spans="1:10" ht="15" customHeight="1" x14ac:dyDescent="0.25">
      <c r="A2" s="141">
        <v>79</v>
      </c>
      <c r="B2" s="143">
        <f>+VENTAS!C15</f>
        <v>43513</v>
      </c>
      <c r="C2" s="146" t="str">
        <f>+VENTAS!C6</f>
        <v>FACTURA VENTA # 1</v>
      </c>
      <c r="D2" s="63" t="str">
        <f>+VENTAS!C31</f>
        <v>Clientes</v>
      </c>
      <c r="E2" s="63"/>
      <c r="F2" s="64">
        <f>+VENTAS!N24</f>
        <v>190.21038299999998</v>
      </c>
      <c r="G2" s="64"/>
      <c r="H2" s="147">
        <f>+SUM(F2:F5)</f>
        <v>215.18750399999996</v>
      </c>
      <c r="I2" s="149">
        <f>+SUM(G2:G6)</f>
        <v>215.18750399999999</v>
      </c>
      <c r="J2" s="151" t="s">
        <v>278</v>
      </c>
    </row>
    <row r="3" spans="1:10" x14ac:dyDescent="0.25">
      <c r="A3" s="142"/>
      <c r="B3" s="145"/>
      <c r="C3" s="145"/>
      <c r="D3" s="59" t="str">
        <f>+VENTAS!E24</f>
        <v>Retención IVA 100%</v>
      </c>
      <c r="E3" s="59" t="str">
        <f>+VENTAS!D24</f>
        <v>2.1.01.07.006</v>
      </c>
      <c r="F3" s="60">
        <f>+VENTAS!L24</f>
        <v>23.055803999999998</v>
      </c>
      <c r="G3" s="60"/>
      <c r="H3" s="148"/>
      <c r="I3" s="150"/>
      <c r="J3" s="151"/>
    </row>
    <row r="4" spans="1:10" x14ac:dyDescent="0.25">
      <c r="A4" s="142"/>
      <c r="B4" s="145"/>
      <c r="C4" s="145"/>
      <c r="D4" s="59" t="str">
        <f>+VENTAS!E25</f>
        <v>Retención en la fuente 1%</v>
      </c>
      <c r="E4" s="59" t="str">
        <f>+VENTAS!D25</f>
        <v>2.1.01.06.001</v>
      </c>
      <c r="F4" s="60">
        <f>+VENTAS!L25</f>
        <v>1.9213169999999999</v>
      </c>
      <c r="G4" s="60"/>
      <c r="H4" s="148"/>
      <c r="I4" s="150"/>
      <c r="J4" s="151"/>
    </row>
    <row r="5" spans="1:10" x14ac:dyDescent="0.25">
      <c r="A5" s="142"/>
      <c r="B5" s="145"/>
      <c r="C5" s="145"/>
      <c r="D5" s="59" t="s">
        <v>194</v>
      </c>
      <c r="E5" s="59" t="s">
        <v>56</v>
      </c>
      <c r="F5" s="60"/>
      <c r="G5" s="60">
        <f>+VENTAS!E18</f>
        <v>23.055803999999998</v>
      </c>
      <c r="H5" s="148"/>
      <c r="I5" s="150"/>
      <c r="J5" s="151"/>
    </row>
    <row r="6" spans="1:10" ht="15.75" thickBot="1" x14ac:dyDescent="0.3">
      <c r="A6" s="162"/>
      <c r="B6" s="163"/>
      <c r="C6" s="163"/>
      <c r="D6" s="221" t="s">
        <v>474</v>
      </c>
      <c r="E6" s="221"/>
      <c r="F6" s="221"/>
      <c r="G6" s="223">
        <f>+VENTAS!E15+VENTAS!E16-VENTAS!E17</f>
        <v>192.1317</v>
      </c>
      <c r="H6" s="164"/>
      <c r="I6" s="165"/>
      <c r="J6" s="151"/>
    </row>
    <row r="7" spans="1:10" x14ac:dyDescent="0.25">
      <c r="A7" s="208">
        <v>80</v>
      </c>
      <c r="B7" s="220">
        <f>+B2</f>
        <v>43513</v>
      </c>
      <c r="C7" s="210" t="str">
        <f>+C2</f>
        <v>FACTURA VENTA # 1</v>
      </c>
      <c r="D7" s="222" t="s">
        <v>475</v>
      </c>
      <c r="E7" s="207"/>
      <c r="F7" s="207">
        <f>+VENTAS!T14</f>
        <v>141.35905417407989</v>
      </c>
      <c r="G7" s="207"/>
      <c r="H7" s="212">
        <f>+SUM(F7:F8)</f>
        <v>141.35905417407989</v>
      </c>
      <c r="I7" s="214">
        <f>+SUM(G7:G8)</f>
        <v>141.35905417407989</v>
      </c>
      <c r="J7" s="151"/>
    </row>
    <row r="8" spans="1:10" ht="15.75" thickBot="1" x14ac:dyDescent="0.3">
      <c r="A8" s="209"/>
      <c r="B8" s="211"/>
      <c r="C8" s="211"/>
      <c r="D8" s="207" t="s">
        <v>69</v>
      </c>
      <c r="E8" s="207" t="s">
        <v>46</v>
      </c>
      <c r="F8" s="207"/>
      <c r="G8" s="207">
        <f>+VENTAS!T14</f>
        <v>141.35905417407989</v>
      </c>
      <c r="H8" s="213"/>
      <c r="I8" s="215"/>
      <c r="J8" s="151"/>
    </row>
    <row r="9" spans="1:10" ht="15" customHeight="1" x14ac:dyDescent="0.25">
      <c r="A9" s="141">
        <v>81</v>
      </c>
      <c r="B9" s="143">
        <f>+VENTAS!C44</f>
        <v>43513</v>
      </c>
      <c r="C9" s="146" t="str">
        <f>+VENTAS!C35</f>
        <v>FACTURA VENTA # 2</v>
      </c>
      <c r="D9" s="224" t="str">
        <f>+VENTAS!C31</f>
        <v>Clientes</v>
      </c>
      <c r="E9" s="63"/>
      <c r="F9" s="64">
        <f>+VENTAS!N53</f>
        <v>137.47460759999996</v>
      </c>
      <c r="G9" s="64"/>
      <c r="H9" s="147">
        <f>+SUM(F9:F12)</f>
        <v>153.35812799999994</v>
      </c>
      <c r="I9" s="149">
        <f>+SUM(G9:G13)</f>
        <v>153.35812799999999</v>
      </c>
      <c r="J9" s="151" t="s">
        <v>278</v>
      </c>
    </row>
    <row r="10" spans="1:10" x14ac:dyDescent="0.25">
      <c r="A10" s="142"/>
      <c r="B10" s="145"/>
      <c r="C10" s="145"/>
      <c r="D10" s="59" t="str">
        <f>+VENTAS!E53</f>
        <v>Retencion IVA 30%</v>
      </c>
      <c r="E10" s="59" t="str">
        <f>+VENTAS!D53</f>
        <v>2.1.01.07.003</v>
      </c>
      <c r="F10" s="60">
        <f>+VENTAS!L53</f>
        <v>4.9293684000000004</v>
      </c>
      <c r="G10" s="60"/>
      <c r="H10" s="148"/>
      <c r="I10" s="150"/>
      <c r="J10" s="151"/>
    </row>
    <row r="11" spans="1:10" x14ac:dyDescent="0.25">
      <c r="A11" s="142"/>
      <c r="B11" s="145"/>
      <c r="C11" s="145"/>
      <c r="D11" s="59" t="str">
        <f>+VENTAS!E54</f>
        <v>Retención en la fuente 8%</v>
      </c>
      <c r="E11" s="59" t="str">
        <f>+VENTAS!D54</f>
        <v>2.1.01.06.003</v>
      </c>
      <c r="F11" s="60">
        <f>+VENTAS!L54</f>
        <v>10.954151999999999</v>
      </c>
      <c r="G11" s="60"/>
      <c r="H11" s="148"/>
      <c r="I11" s="150"/>
      <c r="J11" s="151"/>
    </row>
    <row r="12" spans="1:10" x14ac:dyDescent="0.25">
      <c r="A12" s="142"/>
      <c r="B12" s="145"/>
      <c r="C12" s="145"/>
      <c r="D12" s="59" t="s">
        <v>194</v>
      </c>
      <c r="E12" s="59" t="s">
        <v>56</v>
      </c>
      <c r="F12" s="60"/>
      <c r="G12" s="60">
        <f>+VENTAS!E47</f>
        <v>16.431228000000001</v>
      </c>
      <c r="H12" s="148"/>
      <c r="I12" s="150"/>
      <c r="J12" s="151"/>
    </row>
    <row r="13" spans="1:10" ht="15.75" thickBot="1" x14ac:dyDescent="0.3">
      <c r="A13" s="162"/>
      <c r="B13" s="163"/>
      <c r="C13" s="163"/>
      <c r="D13" s="221" t="s">
        <v>474</v>
      </c>
      <c r="E13" s="221"/>
      <c r="F13" s="221"/>
      <c r="G13" s="223">
        <f>+VENTAS!E44+VENTAS!E45-VENTAS!E46</f>
        <v>136.92689999999999</v>
      </c>
      <c r="H13" s="164"/>
      <c r="I13" s="165"/>
      <c r="J13" s="151"/>
    </row>
    <row r="14" spans="1:10" x14ac:dyDescent="0.25">
      <c r="A14" s="152">
        <v>82</v>
      </c>
      <c r="B14" s="154">
        <f>+B9</f>
        <v>43513</v>
      </c>
      <c r="C14" s="156" t="str">
        <f>+C9</f>
        <v>FACTURA VENTA # 2</v>
      </c>
      <c r="D14" s="70" t="str">
        <f>+VENTAS!C60</f>
        <v>Caja General</v>
      </c>
      <c r="E14" s="61"/>
      <c r="F14" s="62">
        <f>+VENTAS!C61</f>
        <v>137.47460759999996</v>
      </c>
      <c r="G14" s="62"/>
      <c r="H14" s="158">
        <f>+SUM(G14:G15)</f>
        <v>137.47460759999996</v>
      </c>
      <c r="I14" s="160">
        <f>+SUM(F14:F15)</f>
        <v>137.47460759999996</v>
      </c>
      <c r="J14" s="151"/>
    </row>
    <row r="15" spans="1:10" ht="15.75" thickBot="1" x14ac:dyDescent="0.3">
      <c r="A15" s="153"/>
      <c r="B15" s="155"/>
      <c r="C15" s="157"/>
      <c r="D15" s="65" t="s">
        <v>458</v>
      </c>
      <c r="E15" s="65"/>
      <c r="F15" s="66"/>
      <c r="G15" s="66">
        <f>+F9</f>
        <v>137.47460759999996</v>
      </c>
      <c r="H15" s="159"/>
      <c r="I15" s="161"/>
      <c r="J15" s="151"/>
    </row>
    <row r="16" spans="1:10" x14ac:dyDescent="0.25">
      <c r="A16" s="208">
        <v>83</v>
      </c>
      <c r="B16" s="220">
        <f>+B14</f>
        <v>43513</v>
      </c>
      <c r="C16" s="220" t="str">
        <f>+C14</f>
        <v>FACTURA VENTA # 2</v>
      </c>
      <c r="D16" s="222" t="s">
        <v>475</v>
      </c>
      <c r="E16" s="207"/>
      <c r="F16" s="207">
        <f>+VENTAS!T43</f>
        <v>142.19769999999997</v>
      </c>
      <c r="G16" s="207"/>
      <c r="H16" s="212">
        <f>+SUM(F16:F17)</f>
        <v>142.19769999999997</v>
      </c>
      <c r="I16" s="214">
        <f>+SUM(G16:G17)</f>
        <v>142.19769999999997</v>
      </c>
      <c r="J16" s="151"/>
    </row>
    <row r="17" spans="1:10" ht="15.75" thickBot="1" x14ac:dyDescent="0.3">
      <c r="A17" s="209"/>
      <c r="B17" s="211"/>
      <c r="C17" s="211"/>
      <c r="D17" s="207" t="s">
        <v>69</v>
      </c>
      <c r="E17" s="207" t="s">
        <v>46</v>
      </c>
      <c r="F17" s="207"/>
      <c r="G17" s="207">
        <f>+VENTAS!T43</f>
        <v>142.19769999999997</v>
      </c>
      <c r="H17" s="213"/>
      <c r="I17" s="215"/>
      <c r="J17" s="151"/>
    </row>
    <row r="18" spans="1:10" x14ac:dyDescent="0.25">
      <c r="A18" s="141">
        <v>84</v>
      </c>
      <c r="B18" s="143">
        <f>+VENTAS!C73</f>
        <v>43513</v>
      </c>
      <c r="C18" s="146" t="str">
        <f>+VENTAS!C64</f>
        <v>FACTURA VENTA # 3</v>
      </c>
      <c r="D18" s="63" t="s">
        <v>458</v>
      </c>
      <c r="E18" s="63"/>
      <c r="F18" s="64">
        <f>+VENTAS!N82</f>
        <v>332.73042400000003</v>
      </c>
      <c r="G18" s="64"/>
      <c r="H18" s="147">
        <f>+SUM(F18:F21)</f>
        <v>358.32507200000003</v>
      </c>
      <c r="I18" s="149">
        <f>+SUM(G18:G22)</f>
        <v>358.32507200000003</v>
      </c>
      <c r="J18" s="151" t="s">
        <v>278</v>
      </c>
    </row>
    <row r="19" spans="1:10" x14ac:dyDescent="0.25">
      <c r="A19" s="142"/>
      <c r="B19" s="145"/>
      <c r="C19" s="145"/>
      <c r="D19" s="59" t="str">
        <f>+VENTAS!E82</f>
        <v>Retención IVA 50%</v>
      </c>
      <c r="E19" s="59"/>
      <c r="F19" s="60">
        <f>+VENTAS!L82</f>
        <v>19.195985999999998</v>
      </c>
      <c r="G19" s="60"/>
      <c r="H19" s="148"/>
      <c r="I19" s="150"/>
      <c r="J19" s="151"/>
    </row>
    <row r="20" spans="1:10" x14ac:dyDescent="0.25">
      <c r="A20" s="142"/>
      <c r="B20" s="145"/>
      <c r="C20" s="145"/>
      <c r="D20" s="59" t="str">
        <f>+VENTAS!E83</f>
        <v>Retención en la fuente 2%</v>
      </c>
      <c r="E20" s="59"/>
      <c r="F20" s="60">
        <f>+VENTAS!L83</f>
        <v>6.3986620000000007</v>
      </c>
      <c r="G20" s="60"/>
      <c r="H20" s="148"/>
      <c r="I20" s="150"/>
      <c r="J20" s="151"/>
    </row>
    <row r="21" spans="1:10" x14ac:dyDescent="0.25">
      <c r="A21" s="142"/>
      <c r="B21" s="145"/>
      <c r="C21" s="145"/>
      <c r="D21" s="59" t="s">
        <v>194</v>
      </c>
      <c r="E21" s="59" t="s">
        <v>56</v>
      </c>
      <c r="F21" s="60"/>
      <c r="G21" s="60">
        <f>+VENTAS!E76</f>
        <v>38.391971999999996</v>
      </c>
      <c r="H21" s="148"/>
      <c r="I21" s="150"/>
      <c r="J21" s="151"/>
    </row>
    <row r="22" spans="1:10" ht="15.75" thickBot="1" x14ac:dyDescent="0.3">
      <c r="A22" s="162"/>
      <c r="B22" s="163"/>
      <c r="C22" s="163"/>
      <c r="D22" s="221" t="s">
        <v>474</v>
      </c>
      <c r="E22" s="221"/>
      <c r="F22" s="221"/>
      <c r="G22" s="223">
        <f>+VENTAS!E73+VENTAS!E74-VENTAS!E75</f>
        <v>319.93310000000002</v>
      </c>
      <c r="H22" s="164"/>
      <c r="I22" s="165"/>
      <c r="J22" s="151"/>
    </row>
    <row r="23" spans="1:10" x14ac:dyDescent="0.25">
      <c r="A23" s="152">
        <v>85</v>
      </c>
      <c r="B23" s="154">
        <f>+B18</f>
        <v>43513</v>
      </c>
      <c r="C23" s="156" t="str">
        <f>+C18</f>
        <v>FACTURA VENTA # 3</v>
      </c>
      <c r="D23" s="70" t="str">
        <f>+VENTAS!C88</f>
        <v>Tarjeta de Credito</v>
      </c>
      <c r="E23" s="61"/>
      <c r="F23" s="62">
        <f>+VENTAS!C90</f>
        <v>332.73042400000003</v>
      </c>
      <c r="G23" s="62"/>
      <c r="H23" s="158">
        <f>+SUM(G23:G24)</f>
        <v>332.73042400000003</v>
      </c>
      <c r="I23" s="160">
        <f>+SUM(F23:F24)</f>
        <v>332.73042400000003</v>
      </c>
      <c r="J23" s="151"/>
    </row>
    <row r="24" spans="1:10" ht="15.75" thickBot="1" x14ac:dyDescent="0.3">
      <c r="A24" s="153"/>
      <c r="B24" s="155"/>
      <c r="C24" s="157"/>
      <c r="D24" s="69" t="s">
        <v>458</v>
      </c>
      <c r="E24" s="65"/>
      <c r="F24" s="66"/>
      <c r="G24" s="66">
        <f>+VENTAS!C90</f>
        <v>332.73042400000003</v>
      </c>
      <c r="H24" s="159"/>
      <c r="I24" s="161"/>
      <c r="J24" s="151"/>
    </row>
    <row r="25" spans="1:10" x14ac:dyDescent="0.25">
      <c r="A25" s="208">
        <v>86</v>
      </c>
      <c r="B25" s="220">
        <f>+B23</f>
        <v>43513</v>
      </c>
      <c r="C25" s="220" t="str">
        <f>+C23</f>
        <v>FACTURA VENTA # 3</v>
      </c>
      <c r="D25" s="222" t="s">
        <v>475</v>
      </c>
      <c r="E25" s="207"/>
      <c r="F25" s="207">
        <f>+VENTAS!T72</f>
        <v>142.19769999999997</v>
      </c>
      <c r="G25" s="207"/>
      <c r="H25" s="212">
        <f>+SUM(F25:F26)</f>
        <v>142.19769999999997</v>
      </c>
      <c r="I25" s="214">
        <f>+SUM(G25:G26)</f>
        <v>142.19769999999997</v>
      </c>
      <c r="J25" s="151"/>
    </row>
    <row r="26" spans="1:10" ht="15.75" thickBot="1" x14ac:dyDescent="0.3">
      <c r="A26" s="209"/>
      <c r="B26" s="211"/>
      <c r="C26" s="211"/>
      <c r="D26" s="207" t="s">
        <v>69</v>
      </c>
      <c r="E26" s="207" t="s">
        <v>46</v>
      </c>
      <c r="F26" s="207"/>
      <c r="G26" s="207">
        <f>+VENTAS!T72</f>
        <v>142.19769999999997</v>
      </c>
      <c r="H26" s="213"/>
      <c r="I26" s="215"/>
      <c r="J26" s="151"/>
    </row>
    <row r="27" spans="1:10" x14ac:dyDescent="0.25">
      <c r="A27" s="141">
        <v>7</v>
      </c>
      <c r="B27" s="143">
        <f>+VENTAS!C103</f>
        <v>43513</v>
      </c>
      <c r="C27" s="146" t="str">
        <f>+VENTAS!C93</f>
        <v>FACTURA VENTA # 4</v>
      </c>
      <c r="D27" s="63" t="s">
        <v>69</v>
      </c>
      <c r="E27" s="63" t="s">
        <v>46</v>
      </c>
      <c r="F27" s="64"/>
      <c r="G27" s="64">
        <f>+VENTAS!E102+VENTAS!E103-VENTAS!E104</f>
        <v>1180.8087</v>
      </c>
      <c r="H27" s="147">
        <f>+SUM(G27:G31)</f>
        <v>1322.505744</v>
      </c>
      <c r="I27" s="149">
        <f>+SUM(F27:F31)</f>
        <v>1322.505744</v>
      </c>
      <c r="J27" s="151" t="s">
        <v>278</v>
      </c>
    </row>
    <row r="28" spans="1:10" x14ac:dyDescent="0.25">
      <c r="A28" s="142"/>
      <c r="B28" s="145"/>
      <c r="C28" s="145"/>
      <c r="D28" s="59" t="s">
        <v>194</v>
      </c>
      <c r="E28" s="59" t="s">
        <v>56</v>
      </c>
      <c r="F28" s="60"/>
      <c r="G28" s="60">
        <f>+VENTAS!E105</f>
        <v>141.69704400000001</v>
      </c>
      <c r="H28" s="148"/>
      <c r="I28" s="150"/>
      <c r="J28" s="151"/>
    </row>
    <row r="29" spans="1:10" x14ac:dyDescent="0.25">
      <c r="A29" s="142"/>
      <c r="B29" s="145"/>
      <c r="C29" s="145"/>
      <c r="D29" s="59" t="str">
        <f>+VENTAS!E111</f>
        <v>Retención IVA 70%</v>
      </c>
      <c r="E29" s="59" t="str">
        <f>+VENTAS!D111</f>
        <v>2.1.01.07.005</v>
      </c>
      <c r="F29" s="60">
        <f>+VENTAS!L111</f>
        <v>99.187930800000004</v>
      </c>
      <c r="G29" s="60"/>
      <c r="H29" s="148"/>
      <c r="I29" s="150"/>
      <c r="J29" s="151"/>
    </row>
    <row r="30" spans="1:10" x14ac:dyDescent="0.25">
      <c r="A30" s="142"/>
      <c r="B30" s="145"/>
      <c r="C30" s="145"/>
      <c r="D30" s="59" t="str">
        <f>+VENTAS!E112</f>
        <v>Retención en la fuente 1%</v>
      </c>
      <c r="E30" s="59" t="str">
        <f>+VENTAS!D112</f>
        <v>2.1.01.06.001</v>
      </c>
      <c r="F30" s="60">
        <f>+VENTAS!L112</f>
        <v>11.808087</v>
      </c>
      <c r="G30" s="60"/>
      <c r="H30" s="148"/>
      <c r="I30" s="150"/>
      <c r="J30" s="151"/>
    </row>
    <row r="31" spans="1:10" x14ac:dyDescent="0.25">
      <c r="A31" s="142"/>
      <c r="B31" s="145"/>
      <c r="C31" s="145"/>
      <c r="D31" s="59" t="s">
        <v>85</v>
      </c>
      <c r="E31" s="59"/>
      <c r="F31" s="60">
        <f>+VENTAS!N111</f>
        <v>1211.5097261999999</v>
      </c>
      <c r="G31" s="60"/>
      <c r="H31" s="148"/>
      <c r="I31" s="150"/>
      <c r="J31" s="151"/>
    </row>
    <row r="32" spans="1:10" x14ac:dyDescent="0.25">
      <c r="A32" s="152">
        <v>8</v>
      </c>
      <c r="B32" s="154">
        <f>+B27</f>
        <v>43513</v>
      </c>
      <c r="C32" s="156" t="str">
        <f>+C27</f>
        <v>FACTURA VENTA # 4</v>
      </c>
      <c r="D32" s="61" t="s">
        <v>85</v>
      </c>
      <c r="E32" s="61"/>
      <c r="F32" s="62"/>
      <c r="G32" s="62">
        <f>+F31</f>
        <v>1211.5097261999999</v>
      </c>
      <c r="H32" s="158">
        <f>+SUM(G32:G33)</f>
        <v>1211.5097261999999</v>
      </c>
      <c r="I32" s="160">
        <f>+SUM(F32:F33)</f>
        <v>1211.5097261999999</v>
      </c>
      <c r="J32" s="151"/>
    </row>
    <row r="33" spans="1:10" ht="15.75" thickBot="1" x14ac:dyDescent="0.3">
      <c r="A33" s="153"/>
      <c r="B33" s="155"/>
      <c r="C33" s="157"/>
      <c r="D33" s="69" t="str">
        <f>+VENTAS!C117</f>
        <v>Bancos XXX XXXX</v>
      </c>
      <c r="E33" s="65"/>
      <c r="F33" s="66">
        <f>+VENTAS!C118</f>
        <v>1211.5097261999999</v>
      </c>
      <c r="G33" s="66"/>
      <c r="H33" s="159"/>
      <c r="I33" s="161"/>
      <c r="J33" s="151"/>
    </row>
    <row r="34" spans="1:10" ht="15" customHeight="1" x14ac:dyDescent="0.25">
      <c r="A34" s="141">
        <v>9</v>
      </c>
      <c r="B34" s="143">
        <f>+VENTAS!C131</f>
        <v>43513</v>
      </c>
      <c r="C34" s="146" t="str">
        <f>+VENTAS!C121</f>
        <v>FACTURA VENTA # 5</v>
      </c>
      <c r="D34" s="63" t="s">
        <v>69</v>
      </c>
      <c r="E34" s="63" t="s">
        <v>46</v>
      </c>
      <c r="F34" s="64"/>
      <c r="G34" s="64">
        <f>+VENTAS!E130+VENTAS!E131-VENTAS!E132</f>
        <v>1180.8087</v>
      </c>
      <c r="H34" s="147">
        <f>+SUM(G34:G38)</f>
        <v>1322.505744</v>
      </c>
      <c r="I34" s="149">
        <f>+SUM(F34:F38)</f>
        <v>1322.5057439999998</v>
      </c>
      <c r="J34" s="151" t="s">
        <v>278</v>
      </c>
    </row>
    <row r="35" spans="1:10" x14ac:dyDescent="0.25">
      <c r="A35" s="142"/>
      <c r="B35" s="145"/>
      <c r="C35" s="145"/>
      <c r="D35" s="59" t="s">
        <v>194</v>
      </c>
      <c r="E35" s="59" t="s">
        <v>56</v>
      </c>
      <c r="F35" s="60"/>
      <c r="G35" s="60">
        <f>+VENTAS!E133</f>
        <v>141.69704400000001</v>
      </c>
      <c r="H35" s="148"/>
      <c r="I35" s="150"/>
      <c r="J35" s="151"/>
    </row>
    <row r="36" spans="1:10" x14ac:dyDescent="0.25">
      <c r="A36" s="142"/>
      <c r="B36" s="145"/>
      <c r="C36" s="145"/>
      <c r="D36" s="59" t="str">
        <f>+VENTAS!E139</f>
        <v>Retención IVA 10%</v>
      </c>
      <c r="E36" s="59" t="str">
        <f>+VENTAS!D139</f>
        <v>2.1.01.07.001</v>
      </c>
      <c r="F36" s="60">
        <f>+VENTAS!L139</f>
        <v>14.169704400000001</v>
      </c>
      <c r="G36" s="60"/>
      <c r="H36" s="148"/>
      <c r="I36" s="150"/>
      <c r="J36" s="151"/>
    </row>
    <row r="37" spans="1:10" x14ac:dyDescent="0.25">
      <c r="A37" s="142"/>
      <c r="B37" s="145"/>
      <c r="C37" s="145"/>
      <c r="D37" s="59" t="str">
        <f>+VENTAS!E140</f>
        <v>Retención en la fuente 8%</v>
      </c>
      <c r="E37" s="59" t="str">
        <f>+VENTAS!D140</f>
        <v>2.1.01.06.003</v>
      </c>
      <c r="F37" s="60">
        <f>+VENTAS!L140</f>
        <v>94.464696000000004</v>
      </c>
      <c r="G37" s="60"/>
      <c r="H37" s="148"/>
      <c r="I37" s="150"/>
      <c r="J37" s="151"/>
    </row>
    <row r="38" spans="1:10" x14ac:dyDescent="0.25">
      <c r="A38" s="142"/>
      <c r="B38" s="145"/>
      <c r="C38" s="145"/>
      <c r="D38" s="59" t="s">
        <v>85</v>
      </c>
      <c r="E38" s="59"/>
      <c r="F38" s="60">
        <f>+VENTAS!N139</f>
        <v>1213.8713435999998</v>
      </c>
      <c r="G38" s="60"/>
      <c r="H38" s="148"/>
      <c r="I38" s="150"/>
      <c r="J38" s="151"/>
    </row>
    <row r="39" spans="1:10" x14ac:dyDescent="0.25">
      <c r="A39" s="152">
        <v>10</v>
      </c>
      <c r="B39" s="154">
        <f>+B34</f>
        <v>43513</v>
      </c>
      <c r="C39" s="156" t="str">
        <f>+C34</f>
        <v>FACTURA VENTA # 5</v>
      </c>
      <c r="D39" s="61" t="s">
        <v>85</v>
      </c>
      <c r="E39" s="61"/>
      <c r="F39" s="62"/>
      <c r="G39" s="62">
        <f>+F38</f>
        <v>1213.8713435999998</v>
      </c>
      <c r="H39" s="158">
        <f>+SUM(G39:G42)</f>
        <v>1213.8713435999998</v>
      </c>
      <c r="I39" s="160">
        <f>+SUM(F39:F42)</f>
        <v>1213.8713435999998</v>
      </c>
      <c r="J39" s="151"/>
    </row>
    <row r="40" spans="1:10" x14ac:dyDescent="0.25">
      <c r="A40" s="152"/>
      <c r="B40" s="154"/>
      <c r="C40" s="156"/>
      <c r="D40" s="70" t="str">
        <f>+VENTAS!C145</f>
        <v>Bancos XXX XXXX</v>
      </c>
      <c r="E40" s="61"/>
      <c r="F40" s="62">
        <f>+VENTAS!C146</f>
        <v>364.16140307999996</v>
      </c>
      <c r="G40" s="62"/>
      <c r="H40" s="158"/>
      <c r="I40" s="160"/>
      <c r="J40" s="151"/>
    </row>
    <row r="41" spans="1:10" x14ac:dyDescent="0.25">
      <c r="A41" s="152"/>
      <c r="B41" s="154"/>
      <c r="C41" s="156"/>
      <c r="D41" s="70" t="str">
        <f>+VENTAS!C147</f>
        <v>Bancos XYZ XYZ</v>
      </c>
      <c r="E41" s="61"/>
      <c r="F41" s="62">
        <f>+VENTAS!C148</f>
        <v>364.16140307999996</v>
      </c>
      <c r="G41" s="62"/>
      <c r="H41" s="158"/>
      <c r="I41" s="160"/>
      <c r="J41" s="151"/>
    </row>
    <row r="42" spans="1:10" ht="15.75" thickBot="1" x14ac:dyDescent="0.3">
      <c r="A42" s="153"/>
      <c r="B42" s="155"/>
      <c r="C42" s="157"/>
      <c r="D42" s="69" t="str">
        <f>+VENTAS!C150</f>
        <v>Caja General</v>
      </c>
      <c r="E42" s="65"/>
      <c r="F42" s="66">
        <f>+VENTAS!C151</f>
        <v>485.54853743999996</v>
      </c>
      <c r="G42" s="66"/>
      <c r="H42" s="159"/>
      <c r="I42" s="161"/>
      <c r="J42" s="151"/>
    </row>
    <row r="43" spans="1:10" x14ac:dyDescent="0.25">
      <c r="A43" s="141">
        <v>11</v>
      </c>
      <c r="B43" s="143">
        <f>+VENTAS!C164</f>
        <v>43513</v>
      </c>
      <c r="C43" s="146" t="str">
        <f>+VENTAS!C154</f>
        <v>FACTURA VENTA # 6</v>
      </c>
      <c r="D43" s="63" t="s">
        <v>69</v>
      </c>
      <c r="E43" s="63" t="s">
        <v>46</v>
      </c>
      <c r="F43" s="64"/>
      <c r="G43" s="64">
        <f>+VENTAS!E163+VENTAS!E164-VENTAS!E165</f>
        <v>1180.8087</v>
      </c>
      <c r="H43" s="147">
        <f>+SUM(G43:G47)</f>
        <v>1322.505744</v>
      </c>
      <c r="I43" s="149">
        <f>+SUM(F43:F47)</f>
        <v>1322.5057439999998</v>
      </c>
      <c r="J43" s="151" t="s">
        <v>278</v>
      </c>
    </row>
    <row r="44" spans="1:10" x14ac:dyDescent="0.25">
      <c r="A44" s="142"/>
      <c r="B44" s="145"/>
      <c r="C44" s="145"/>
      <c r="D44" s="59" t="s">
        <v>194</v>
      </c>
      <c r="E44" s="59" t="s">
        <v>56</v>
      </c>
      <c r="F44" s="60"/>
      <c r="G44" s="60">
        <f>+VENTAS!E166</f>
        <v>141.69704400000001</v>
      </c>
      <c r="H44" s="148"/>
      <c r="I44" s="150"/>
      <c r="J44" s="151"/>
    </row>
    <row r="45" spans="1:10" x14ac:dyDescent="0.25">
      <c r="A45" s="142"/>
      <c r="B45" s="145"/>
      <c r="C45" s="145"/>
      <c r="D45" s="59" t="str">
        <f>+VENTAS!E172</f>
        <v>Retención IVA 20%</v>
      </c>
      <c r="E45" s="59" t="str">
        <f>+VENTAS!D172</f>
        <v>2.1.01.07.002</v>
      </c>
      <c r="F45" s="60">
        <f>+VENTAS!L172</f>
        <v>28.339408800000001</v>
      </c>
      <c r="G45" s="60"/>
      <c r="H45" s="148"/>
      <c r="I45" s="150"/>
      <c r="J45" s="151"/>
    </row>
    <row r="46" spans="1:10" x14ac:dyDescent="0.25">
      <c r="A46" s="142"/>
      <c r="B46" s="145"/>
      <c r="C46" s="145"/>
      <c r="D46" s="59" t="str">
        <f>+VENTAS!E173</f>
        <v>Retención en la fuente 2%</v>
      </c>
      <c r="E46" s="59" t="str">
        <f>+VENTAS!D173</f>
        <v>2.1.01.06.002</v>
      </c>
      <c r="F46" s="60">
        <f>+VENTAS!L173</f>
        <v>23.616174000000001</v>
      </c>
      <c r="G46" s="60"/>
      <c r="H46" s="148"/>
      <c r="I46" s="150"/>
      <c r="J46" s="151"/>
    </row>
    <row r="47" spans="1:10" x14ac:dyDescent="0.25">
      <c r="A47" s="142"/>
      <c r="B47" s="145"/>
      <c r="C47" s="145"/>
      <c r="D47" s="59" t="s">
        <v>85</v>
      </c>
      <c r="E47" s="59"/>
      <c r="F47" s="60">
        <f>+VENTAS!N172</f>
        <v>1270.5501611999998</v>
      </c>
      <c r="G47" s="60"/>
      <c r="H47" s="148"/>
      <c r="I47" s="150"/>
      <c r="J47" s="151"/>
    </row>
    <row r="48" spans="1:10" x14ac:dyDescent="0.25">
      <c r="A48" s="152">
        <v>12</v>
      </c>
      <c r="B48" s="154">
        <f>+B43</f>
        <v>43513</v>
      </c>
      <c r="C48" s="156" t="str">
        <f>+C43</f>
        <v>FACTURA VENTA # 6</v>
      </c>
      <c r="D48" s="61" t="s">
        <v>85</v>
      </c>
      <c r="E48" s="61"/>
      <c r="F48" s="62"/>
      <c r="G48" s="62">
        <f>+VENTAS!C179</f>
        <v>762.33009671999991</v>
      </c>
      <c r="H48" s="158">
        <f>+SUM(G48:G49)</f>
        <v>762.33009671999991</v>
      </c>
      <c r="I48" s="160">
        <f>+SUM(F48:F49)</f>
        <v>762.33009671999991</v>
      </c>
      <c r="J48" s="151"/>
    </row>
    <row r="49" spans="1:10" ht="15.75" thickBot="1" x14ac:dyDescent="0.3">
      <c r="A49" s="153"/>
      <c r="B49" s="155"/>
      <c r="C49" s="157"/>
      <c r="D49" s="69" t="str">
        <f>+VENTAS!C178</f>
        <v>Bancos XXX XXXX</v>
      </c>
      <c r="E49" s="65"/>
      <c r="F49" s="66">
        <f>+VENTAS!C179</f>
        <v>762.33009671999991</v>
      </c>
      <c r="G49" s="66"/>
      <c r="H49" s="159"/>
      <c r="I49" s="161"/>
      <c r="J49" s="151"/>
    </row>
    <row r="50" spans="1:10" x14ac:dyDescent="0.25">
      <c r="A50" s="141">
        <v>13</v>
      </c>
      <c r="B50" s="143">
        <f>+VENTAS!C195</f>
        <v>43514</v>
      </c>
      <c r="C50" s="146" t="str">
        <f>+VENTAS!C185</f>
        <v>FACTURA VENTA # 7</v>
      </c>
      <c r="D50" s="63" t="s">
        <v>69</v>
      </c>
      <c r="E50" s="63" t="s">
        <v>46</v>
      </c>
      <c r="F50" s="64"/>
      <c r="G50" s="64">
        <f>+VENTAS!E194+VENTAS!E195-VENTAS!E196</f>
        <v>424.4316</v>
      </c>
      <c r="H50" s="147">
        <f>+SUM(G50:G52)</f>
        <v>475.36339199999998</v>
      </c>
      <c r="I50" s="149">
        <f>+SUM(F50:F52)</f>
        <v>475.36339199999992</v>
      </c>
      <c r="J50" s="151" t="s">
        <v>278</v>
      </c>
    </row>
    <row r="51" spans="1:10" x14ac:dyDescent="0.25">
      <c r="A51" s="142"/>
      <c r="B51" s="145"/>
      <c r="C51" s="145"/>
      <c r="D51" s="59" t="s">
        <v>194</v>
      </c>
      <c r="E51" s="59" t="s">
        <v>56</v>
      </c>
      <c r="F51" s="60"/>
      <c r="G51" s="60">
        <f>+VENTAS!E197</f>
        <v>50.931791999999994</v>
      </c>
      <c r="H51" s="148"/>
      <c r="I51" s="150"/>
      <c r="J51" s="151"/>
    </row>
    <row r="52" spans="1:10" ht="15.75" thickBot="1" x14ac:dyDescent="0.3">
      <c r="A52" s="162"/>
      <c r="B52" s="163"/>
      <c r="C52" s="163"/>
      <c r="D52" s="67" t="s">
        <v>85</v>
      </c>
      <c r="E52" s="67"/>
      <c r="F52" s="68">
        <f>+VENTAS!E198</f>
        <v>475.36339199999992</v>
      </c>
      <c r="G52" s="68"/>
      <c r="H52" s="164"/>
      <c r="I52" s="165"/>
      <c r="J52" s="151"/>
    </row>
    <row r="53" spans="1:10" ht="15" customHeight="1" x14ac:dyDescent="0.25">
      <c r="A53" s="141">
        <v>14</v>
      </c>
      <c r="B53" s="143">
        <f>+VENTAS!C218</f>
        <v>43514</v>
      </c>
      <c r="C53" s="146" t="str">
        <f>+VENTAS!C208</f>
        <v>FACTURA VENTA # 8</v>
      </c>
      <c r="D53" s="63" t="s">
        <v>69</v>
      </c>
      <c r="E53" s="63" t="s">
        <v>46</v>
      </c>
      <c r="F53" s="64"/>
      <c r="G53" s="64">
        <f>+VENTAS!E217+VENTAS!E218-VENTAS!E219</f>
        <v>501.85159999999996</v>
      </c>
      <c r="H53" s="147">
        <f>+SUM(G53:G55)</f>
        <v>562.07379199999991</v>
      </c>
      <c r="I53" s="149">
        <f>+SUM(F53:F55)</f>
        <v>562.07379200000003</v>
      </c>
      <c r="J53" s="151" t="s">
        <v>278</v>
      </c>
    </row>
    <row r="54" spans="1:10" x14ac:dyDescent="0.25">
      <c r="A54" s="142"/>
      <c r="B54" s="145"/>
      <c r="C54" s="145"/>
      <c r="D54" s="59" t="s">
        <v>194</v>
      </c>
      <c r="E54" s="59" t="s">
        <v>56</v>
      </c>
      <c r="F54" s="60"/>
      <c r="G54" s="60">
        <f>+VENTAS!E220</f>
        <v>60.222191999999993</v>
      </c>
      <c r="H54" s="148"/>
      <c r="I54" s="150"/>
      <c r="J54" s="151"/>
    </row>
    <row r="55" spans="1:10" x14ac:dyDescent="0.25">
      <c r="A55" s="142"/>
      <c r="B55" s="145"/>
      <c r="C55" s="145"/>
      <c r="D55" s="59" t="s">
        <v>85</v>
      </c>
      <c r="E55" s="59"/>
      <c r="F55" s="60">
        <f>+VENTAS!E221</f>
        <v>562.07379200000003</v>
      </c>
      <c r="G55" s="60"/>
      <c r="H55" s="148"/>
      <c r="I55" s="150"/>
      <c r="J55" s="151"/>
    </row>
    <row r="56" spans="1:10" x14ac:dyDescent="0.25">
      <c r="A56" s="152">
        <v>15</v>
      </c>
      <c r="B56" s="154">
        <f>+B53</f>
        <v>43514</v>
      </c>
      <c r="C56" s="156" t="str">
        <f>+C53</f>
        <v>FACTURA VENTA # 8</v>
      </c>
      <c r="D56" s="61" t="s">
        <v>85</v>
      </c>
      <c r="E56" s="61"/>
      <c r="F56" s="62"/>
      <c r="G56" s="62">
        <f>+VENTAS!E221</f>
        <v>562.07379200000003</v>
      </c>
      <c r="H56" s="158">
        <f>+SUM(G56:G57)</f>
        <v>562.07379200000003</v>
      </c>
      <c r="I56" s="160">
        <f>+SUM(F56:F57)</f>
        <v>562.07379200000003</v>
      </c>
      <c r="J56" s="151"/>
    </row>
    <row r="57" spans="1:10" ht="15.75" thickBot="1" x14ac:dyDescent="0.3">
      <c r="A57" s="153"/>
      <c r="B57" s="155"/>
      <c r="C57" s="157"/>
      <c r="D57" s="69" t="str">
        <f>+VENTAS!C227</f>
        <v>Caja General</v>
      </c>
      <c r="E57" s="65"/>
      <c r="F57" s="66">
        <f>+VENTAS!C228</f>
        <v>562.07379200000003</v>
      </c>
      <c r="G57" s="66"/>
      <c r="H57" s="159"/>
      <c r="I57" s="161"/>
      <c r="J57" s="151"/>
    </row>
    <row r="58" spans="1:10" x14ac:dyDescent="0.25">
      <c r="A58" s="141">
        <v>16</v>
      </c>
      <c r="B58" s="143">
        <f>+VENTAS!C241</f>
        <v>43514</v>
      </c>
      <c r="C58" s="146" t="str">
        <f>+VENTAS!C231</f>
        <v>FACTURA VENTA # 9</v>
      </c>
      <c r="D58" s="63" t="s">
        <v>69</v>
      </c>
      <c r="E58" s="63" t="s">
        <v>46</v>
      </c>
      <c r="F58" s="64"/>
      <c r="G58" s="64">
        <f>+VENTAS!E240+VENTAS!E241-VENTAS!E242</f>
        <v>405.8116</v>
      </c>
      <c r="H58" s="147">
        <f>+SUM(G58:G60)</f>
        <v>454.50899199999998</v>
      </c>
      <c r="I58" s="149">
        <f>+SUM(F58:F60)</f>
        <v>454.50899199999998</v>
      </c>
      <c r="J58" s="151" t="s">
        <v>278</v>
      </c>
    </row>
    <row r="59" spans="1:10" x14ac:dyDescent="0.25">
      <c r="A59" s="142"/>
      <c r="B59" s="145"/>
      <c r="C59" s="145"/>
      <c r="D59" s="59" t="s">
        <v>194</v>
      </c>
      <c r="E59" s="59" t="s">
        <v>56</v>
      </c>
      <c r="F59" s="60"/>
      <c r="G59" s="60">
        <f>+VENTAS!E243</f>
        <v>48.697391999999994</v>
      </c>
      <c r="H59" s="148"/>
      <c r="I59" s="150"/>
      <c r="J59" s="151"/>
    </row>
    <row r="60" spans="1:10" x14ac:dyDescent="0.25">
      <c r="A60" s="142"/>
      <c r="B60" s="145"/>
      <c r="C60" s="145"/>
      <c r="D60" s="59" t="s">
        <v>85</v>
      </c>
      <c r="E60" s="59"/>
      <c r="F60" s="60">
        <f>+VENTAS!E244</f>
        <v>454.50899199999998</v>
      </c>
      <c r="G60" s="60"/>
      <c r="H60" s="148"/>
      <c r="I60" s="150"/>
      <c r="J60" s="151"/>
    </row>
    <row r="61" spans="1:10" x14ac:dyDescent="0.25">
      <c r="A61" s="152">
        <v>17</v>
      </c>
      <c r="B61" s="154">
        <f>+B58</f>
        <v>43514</v>
      </c>
      <c r="C61" s="156" t="str">
        <f>+C58</f>
        <v>FACTURA VENTA # 9</v>
      </c>
      <c r="D61" s="61" t="s">
        <v>85</v>
      </c>
      <c r="E61" s="61"/>
      <c r="F61" s="62"/>
      <c r="G61" s="62">
        <f>+F60</f>
        <v>454.50899199999998</v>
      </c>
      <c r="H61" s="158">
        <f>+SUM(G61:G62)</f>
        <v>454.50899199999998</v>
      </c>
      <c r="I61" s="160">
        <f>+SUM(F61:F62)</f>
        <v>454.50899199999998</v>
      </c>
      <c r="J61" s="151"/>
    </row>
    <row r="62" spans="1:10" ht="15.75" thickBot="1" x14ac:dyDescent="0.3">
      <c r="A62" s="153"/>
      <c r="B62" s="155"/>
      <c r="C62" s="157"/>
      <c r="D62" s="69" t="s">
        <v>332</v>
      </c>
      <c r="E62" s="65" t="s">
        <v>333</v>
      </c>
      <c r="F62" s="66">
        <f>+VENTAS!C251</f>
        <v>454.50899199999998</v>
      </c>
      <c r="G62" s="66"/>
      <c r="H62" s="159"/>
      <c r="I62" s="161"/>
      <c r="J62" s="151"/>
    </row>
    <row r="63" spans="1:10" x14ac:dyDescent="0.25">
      <c r="A63" s="141">
        <v>18</v>
      </c>
      <c r="B63" s="143">
        <f>+VENTAS!C264</f>
        <v>43514</v>
      </c>
      <c r="C63" s="146" t="str">
        <f>+VENTAS!C254</f>
        <v>FACTURA VENTA # 10</v>
      </c>
      <c r="D63" s="63" t="s">
        <v>69</v>
      </c>
      <c r="E63" s="63" t="s">
        <v>46</v>
      </c>
      <c r="F63" s="64"/>
      <c r="G63" s="64">
        <f>+VENTAS!E263+VENTAS!E264-VENTAS!E265</f>
        <v>1180.8087</v>
      </c>
      <c r="H63" s="147">
        <f>+SUM(G63:G65)</f>
        <v>1322.505744</v>
      </c>
      <c r="I63" s="149">
        <f>+SUM(F63:F65)</f>
        <v>1322.5057439999998</v>
      </c>
      <c r="J63" s="151" t="s">
        <v>278</v>
      </c>
    </row>
    <row r="64" spans="1:10" x14ac:dyDescent="0.25">
      <c r="A64" s="142"/>
      <c r="B64" s="145"/>
      <c r="C64" s="145"/>
      <c r="D64" s="59" t="s">
        <v>194</v>
      </c>
      <c r="E64" s="59" t="s">
        <v>56</v>
      </c>
      <c r="F64" s="60"/>
      <c r="G64" s="60">
        <f>+VENTAS!E266</f>
        <v>141.69704400000001</v>
      </c>
      <c r="H64" s="148"/>
      <c r="I64" s="150"/>
      <c r="J64" s="151"/>
    </row>
    <row r="65" spans="1:10" x14ac:dyDescent="0.25">
      <c r="A65" s="142"/>
      <c r="B65" s="145"/>
      <c r="C65" s="145"/>
      <c r="D65" s="59" t="s">
        <v>85</v>
      </c>
      <c r="E65" s="59"/>
      <c r="F65" s="60">
        <f>+VENTAS!E267</f>
        <v>1322.5057439999998</v>
      </c>
      <c r="G65" s="60"/>
      <c r="H65" s="148"/>
      <c r="I65" s="150"/>
      <c r="J65" s="151"/>
    </row>
    <row r="66" spans="1:10" x14ac:dyDescent="0.25">
      <c r="A66" s="152">
        <v>19</v>
      </c>
      <c r="B66" s="154">
        <f>+B63</f>
        <v>43514</v>
      </c>
      <c r="C66" s="156" t="str">
        <f>+C63</f>
        <v>FACTURA VENTA # 10</v>
      </c>
      <c r="D66" s="61" t="s">
        <v>85</v>
      </c>
      <c r="E66" s="61"/>
      <c r="F66" s="62"/>
      <c r="G66" s="62">
        <f>+F65</f>
        <v>1322.5057439999998</v>
      </c>
      <c r="H66" s="158">
        <f>+SUM(G66:G67)</f>
        <v>1322.5057439999998</v>
      </c>
      <c r="I66" s="160">
        <f>+SUM(F66:F67)</f>
        <v>1322.5057439999998</v>
      </c>
      <c r="J66" s="151"/>
    </row>
    <row r="67" spans="1:10" ht="15.75" thickBot="1" x14ac:dyDescent="0.3">
      <c r="A67" s="153"/>
      <c r="B67" s="155"/>
      <c r="C67" s="157"/>
      <c r="D67" s="69" t="str">
        <f>+VENTAS!C273</f>
        <v>Bancos XXX XXXX</v>
      </c>
      <c r="E67" s="65"/>
      <c r="F67" s="66">
        <f>+VENTAS!C274</f>
        <v>1322.5057439999998</v>
      </c>
      <c r="G67" s="66"/>
      <c r="H67" s="159"/>
      <c r="I67" s="161"/>
      <c r="J67" s="151"/>
    </row>
    <row r="68" spans="1:10" ht="15" customHeight="1" x14ac:dyDescent="0.25">
      <c r="A68" s="141">
        <v>20</v>
      </c>
      <c r="B68" s="143">
        <f>+VENTAS!C287</f>
        <v>43514</v>
      </c>
      <c r="C68" s="146" t="str">
        <f>+VENTAS!C277</f>
        <v>FACTURA VENTA # 11</v>
      </c>
      <c r="D68" s="63" t="s">
        <v>69</v>
      </c>
      <c r="E68" s="63" t="s">
        <v>46</v>
      </c>
      <c r="F68" s="64"/>
      <c r="G68" s="64">
        <f>+VENTAS!E286+VENTAS!E287-VENTAS!E288</f>
        <v>1180.8087</v>
      </c>
      <c r="H68" s="147">
        <f>+SUM(G68:G70)</f>
        <v>1322.505744</v>
      </c>
      <c r="I68" s="149">
        <f>+SUM(F68:F70)</f>
        <v>1322.5057439999998</v>
      </c>
      <c r="J68" s="151" t="s">
        <v>278</v>
      </c>
    </row>
    <row r="69" spans="1:10" x14ac:dyDescent="0.25">
      <c r="A69" s="142"/>
      <c r="B69" s="145"/>
      <c r="C69" s="145"/>
      <c r="D69" s="59" t="s">
        <v>194</v>
      </c>
      <c r="E69" s="59" t="s">
        <v>56</v>
      </c>
      <c r="F69" s="60"/>
      <c r="G69" s="60">
        <f>+VENTAS!E289</f>
        <v>141.69704400000001</v>
      </c>
      <c r="H69" s="148"/>
      <c r="I69" s="150"/>
      <c r="J69" s="151"/>
    </row>
    <row r="70" spans="1:10" x14ac:dyDescent="0.25">
      <c r="A70" s="142"/>
      <c r="B70" s="145"/>
      <c r="C70" s="145"/>
      <c r="D70" s="59" t="s">
        <v>85</v>
      </c>
      <c r="E70" s="59"/>
      <c r="F70" s="60">
        <f>+VENTAS!E290</f>
        <v>1322.5057439999998</v>
      </c>
      <c r="G70" s="60"/>
      <c r="H70" s="148"/>
      <c r="I70" s="150"/>
      <c r="J70" s="151"/>
    </row>
    <row r="71" spans="1:10" x14ac:dyDescent="0.25">
      <c r="A71" s="152">
        <v>21</v>
      </c>
      <c r="B71" s="154">
        <f>+B68</f>
        <v>43514</v>
      </c>
      <c r="C71" s="156" t="str">
        <f>+C68</f>
        <v>FACTURA VENTA # 11</v>
      </c>
      <c r="D71" s="61" t="s">
        <v>85</v>
      </c>
      <c r="E71" s="61"/>
      <c r="F71" s="62"/>
      <c r="G71" s="62">
        <f>+F70</f>
        <v>1322.5057439999998</v>
      </c>
      <c r="H71" s="158">
        <f>+SUM(G71:G74)</f>
        <v>1322.5057439999998</v>
      </c>
      <c r="I71" s="160">
        <f>+SUM(F71:F74)</f>
        <v>1322.5057439999998</v>
      </c>
      <c r="J71" s="151"/>
    </row>
    <row r="72" spans="1:10" x14ac:dyDescent="0.25">
      <c r="A72" s="152"/>
      <c r="B72" s="154"/>
      <c r="C72" s="156"/>
      <c r="D72" s="70" t="str">
        <f>+VENTAS!C297</f>
        <v>Bancos XXX XXXX</v>
      </c>
      <c r="E72" s="61"/>
      <c r="F72" s="62">
        <f>+VENTAS!C298</f>
        <v>396.75172319999996</v>
      </c>
      <c r="G72" s="62"/>
      <c r="H72" s="158"/>
      <c r="I72" s="160"/>
      <c r="J72" s="151"/>
    </row>
    <row r="73" spans="1:10" x14ac:dyDescent="0.25">
      <c r="A73" s="152"/>
      <c r="B73" s="154"/>
      <c r="C73" s="156"/>
      <c r="D73" s="70" t="str">
        <f>+VENTAS!C299</f>
        <v>Bancos XYZ XYZ</v>
      </c>
      <c r="E73" s="61"/>
      <c r="F73" s="62">
        <f>+VENTAS!C300</f>
        <v>396.75172319999996</v>
      </c>
      <c r="G73" s="62"/>
      <c r="H73" s="158"/>
      <c r="I73" s="160"/>
      <c r="J73" s="151"/>
    </row>
    <row r="74" spans="1:10" ht="15.75" thickBot="1" x14ac:dyDescent="0.3">
      <c r="A74" s="153"/>
      <c r="B74" s="155"/>
      <c r="C74" s="157"/>
      <c r="D74" s="69" t="str">
        <f>+VENTAS!C302</f>
        <v>Caja General</v>
      </c>
      <c r="E74" s="65"/>
      <c r="F74" s="66">
        <f>+VENTAS!C303</f>
        <v>529.00229759999991</v>
      </c>
      <c r="G74" s="66"/>
      <c r="H74" s="159"/>
      <c r="I74" s="161"/>
      <c r="J74" s="151"/>
    </row>
    <row r="75" spans="1:10" x14ac:dyDescent="0.25">
      <c r="A75" s="141">
        <v>22</v>
      </c>
      <c r="B75" s="143">
        <f>+VENTAS!C316</f>
        <v>43514</v>
      </c>
      <c r="C75" s="146" t="str">
        <f>+VENTAS!C306</f>
        <v>FACTURA VENTA # 12</v>
      </c>
      <c r="D75" s="63" t="s">
        <v>69</v>
      </c>
      <c r="E75" s="63" t="s">
        <v>46</v>
      </c>
      <c r="F75" s="64"/>
      <c r="G75" s="64">
        <f>+VENTAS!E315+VENTAS!E316-VENTAS!E317</f>
        <v>1180.8087</v>
      </c>
      <c r="H75" s="147">
        <f>+SUM(G75:G77)</f>
        <v>1322.505744</v>
      </c>
      <c r="I75" s="149">
        <f>+SUM(F75:F77)</f>
        <v>1322.5057439999998</v>
      </c>
      <c r="J75" s="151" t="s">
        <v>278</v>
      </c>
    </row>
    <row r="76" spans="1:10" x14ac:dyDescent="0.25">
      <c r="A76" s="142"/>
      <c r="B76" s="145"/>
      <c r="C76" s="145"/>
      <c r="D76" s="59" t="s">
        <v>194</v>
      </c>
      <c r="E76" s="59" t="s">
        <v>56</v>
      </c>
      <c r="F76" s="60"/>
      <c r="G76" s="60">
        <f>+VENTAS!E318</f>
        <v>141.69704400000001</v>
      </c>
      <c r="H76" s="148"/>
      <c r="I76" s="150"/>
      <c r="J76" s="151"/>
    </row>
    <row r="77" spans="1:10" x14ac:dyDescent="0.25">
      <c r="A77" s="142"/>
      <c r="B77" s="145"/>
      <c r="C77" s="145"/>
      <c r="D77" s="59" t="s">
        <v>85</v>
      </c>
      <c r="E77" s="59"/>
      <c r="F77" s="60">
        <f>+VENTAS!E319</f>
        <v>1322.5057439999998</v>
      </c>
      <c r="G77" s="60"/>
      <c r="H77" s="148"/>
      <c r="I77" s="150"/>
      <c r="J77" s="151"/>
    </row>
    <row r="78" spans="1:10" x14ac:dyDescent="0.25">
      <c r="A78" s="152">
        <v>23</v>
      </c>
      <c r="B78" s="154">
        <f>+B75</f>
        <v>43514</v>
      </c>
      <c r="C78" s="156" t="str">
        <f>+C75</f>
        <v>FACTURA VENTA # 12</v>
      </c>
      <c r="D78" s="70" t="str">
        <f>+VENTAS!C328</f>
        <v>Proveedores</v>
      </c>
      <c r="E78" s="61"/>
      <c r="F78" s="62"/>
      <c r="G78" s="62">
        <f>+VENTAS!C326</f>
        <v>793.50344639999992</v>
      </c>
      <c r="H78" s="158">
        <f>+SUM(G78:G79)</f>
        <v>793.50344639999992</v>
      </c>
      <c r="I78" s="160">
        <f>+SUM(F78:F79)</f>
        <v>793.50344639999992</v>
      </c>
      <c r="J78" s="151"/>
    </row>
    <row r="79" spans="1:10" ht="15.75" thickBot="1" x14ac:dyDescent="0.3">
      <c r="A79" s="153"/>
      <c r="B79" s="155"/>
      <c r="C79" s="157"/>
      <c r="D79" s="69" t="str">
        <f>+VENTAS!C325</f>
        <v>Bancos XXX XXXX</v>
      </c>
      <c r="E79" s="65"/>
      <c r="F79" s="66">
        <f>+VENTAS!C326</f>
        <v>793.50344639999992</v>
      </c>
      <c r="G79" s="66"/>
      <c r="H79" s="159"/>
      <c r="I79" s="161"/>
      <c r="J79" s="151"/>
    </row>
    <row r="80" spans="1:10" x14ac:dyDescent="0.25">
      <c r="A80" s="141">
        <v>24</v>
      </c>
      <c r="B80" s="143">
        <f>+VENTAS!C342</f>
        <v>43500</v>
      </c>
      <c r="C80" s="146" t="str">
        <f>+VENTAS!C332</f>
        <v>FACTURA VENTA # 13</v>
      </c>
      <c r="D80" s="63" t="str">
        <f>+VENTAS!P335</f>
        <v>Útiles y papelería</v>
      </c>
      <c r="E80" s="63" t="str">
        <f>+VENTAS!Q335</f>
        <v>5.2.01.02.011</v>
      </c>
      <c r="F80" s="64"/>
      <c r="G80" s="64">
        <f>+VENTAS!E341+VENTAS!E342+-VENTAS!E343</f>
        <v>81.5</v>
      </c>
      <c r="H80" s="147">
        <f>+SUM(G80:G84)</f>
        <v>91.28</v>
      </c>
      <c r="I80" s="149">
        <f>+SUM(F80:F84)</f>
        <v>91.28</v>
      </c>
      <c r="J80" s="151" t="s">
        <v>278</v>
      </c>
    </row>
    <row r="81" spans="1:10" x14ac:dyDescent="0.25">
      <c r="A81" s="142"/>
      <c r="B81" s="145"/>
      <c r="C81" s="145"/>
      <c r="D81" s="59" t="s">
        <v>194</v>
      </c>
      <c r="E81" s="59" t="s">
        <v>56</v>
      </c>
      <c r="F81" s="60"/>
      <c r="G81" s="60">
        <f>+VENTAS!E344</f>
        <v>9.7799999999999994</v>
      </c>
      <c r="H81" s="148"/>
      <c r="I81" s="150"/>
      <c r="J81" s="151"/>
    </row>
    <row r="82" spans="1:10" x14ac:dyDescent="0.25">
      <c r="A82" s="142"/>
      <c r="B82" s="145"/>
      <c r="C82" s="145"/>
      <c r="D82" s="59" t="str">
        <f>+VENTAS!E350</f>
        <v>Retención IVA 100%</v>
      </c>
      <c r="E82" s="59" t="str">
        <f>+VENTAS!D350</f>
        <v>2.1.01.07.006</v>
      </c>
      <c r="F82" s="60">
        <f>+VENTAS!L350</f>
        <v>9.7799999999999994</v>
      </c>
      <c r="G82" s="60"/>
      <c r="H82" s="148"/>
      <c r="I82" s="150"/>
      <c r="J82" s="151"/>
    </row>
    <row r="83" spans="1:10" x14ac:dyDescent="0.25">
      <c r="A83" s="142"/>
      <c r="B83" s="145"/>
      <c r="C83" s="145"/>
      <c r="D83" s="59" t="str">
        <f>+VENTAS!E351</f>
        <v>Retención en la fuente 1%</v>
      </c>
      <c r="E83" s="59" t="str">
        <f>+VENTAS!D351</f>
        <v>2.1.01.06.001</v>
      </c>
      <c r="F83" s="60">
        <f>+VENTAS!L351</f>
        <v>0.81500000000000006</v>
      </c>
      <c r="G83" s="60"/>
      <c r="H83" s="148"/>
      <c r="I83" s="150"/>
      <c r="J83" s="151"/>
    </row>
    <row r="84" spans="1:10" ht="15.75" thickBot="1" x14ac:dyDescent="0.3">
      <c r="A84" s="162"/>
      <c r="B84" s="163"/>
      <c r="C84" s="163"/>
      <c r="D84" s="67" t="s">
        <v>85</v>
      </c>
      <c r="E84" s="67"/>
      <c r="F84" s="68">
        <f>+VENTAS!N350</f>
        <v>80.685000000000002</v>
      </c>
      <c r="G84" s="68"/>
      <c r="H84" s="164"/>
      <c r="I84" s="165"/>
      <c r="J84" s="151"/>
    </row>
    <row r="85" spans="1:10" ht="15" customHeight="1" x14ac:dyDescent="0.25">
      <c r="A85" s="141">
        <v>25</v>
      </c>
      <c r="B85" s="143">
        <f>+VENTAS!C370</f>
        <v>43500</v>
      </c>
      <c r="C85" s="146" t="str">
        <f>+VENTAS!C360</f>
        <v>FACTURA VENTA # 14</v>
      </c>
      <c r="D85" s="63" t="str">
        <f>+VENTAS!P363</f>
        <v>Útiles y papelería</v>
      </c>
      <c r="E85" s="63" t="str">
        <f>+VENTAS!Q363</f>
        <v>5.2.01.02.011</v>
      </c>
      <c r="F85" s="64"/>
      <c r="G85" s="64">
        <f>+VENTAS!E369+VENTAS!E370-VENTAS!E371</f>
        <v>839.46</v>
      </c>
      <c r="H85" s="147">
        <f>+SUM(G85:G89)</f>
        <v>940.1952</v>
      </c>
      <c r="I85" s="149">
        <f>+SUM(F85:F89)</f>
        <v>940.1952</v>
      </c>
      <c r="J85" s="151" t="s">
        <v>278</v>
      </c>
    </row>
    <row r="86" spans="1:10" x14ac:dyDescent="0.25">
      <c r="A86" s="142"/>
      <c r="B86" s="145"/>
      <c r="C86" s="145"/>
      <c r="D86" s="59" t="s">
        <v>194</v>
      </c>
      <c r="E86" s="59" t="s">
        <v>56</v>
      </c>
      <c r="F86" s="60"/>
      <c r="G86" s="60">
        <f>+VENTAS!E372</f>
        <v>100.73519999999999</v>
      </c>
      <c r="H86" s="148"/>
      <c r="I86" s="150"/>
      <c r="J86" s="151"/>
    </row>
    <row r="87" spans="1:10" x14ac:dyDescent="0.25">
      <c r="A87" s="142"/>
      <c r="B87" s="145"/>
      <c r="C87" s="145"/>
      <c r="D87" s="59" t="str">
        <f>+VENTAS!E378</f>
        <v>Retención IVA 30%</v>
      </c>
      <c r="E87" s="59" t="str">
        <f>+VENTAS!D378</f>
        <v>2.1.01.07.003</v>
      </c>
      <c r="F87" s="60">
        <f>+VENTAS!L378</f>
        <v>30.220559999999995</v>
      </c>
      <c r="G87" s="60"/>
      <c r="H87" s="148"/>
      <c r="I87" s="150"/>
      <c r="J87" s="151"/>
    </row>
    <row r="88" spans="1:10" x14ac:dyDescent="0.25">
      <c r="A88" s="142"/>
      <c r="B88" s="145"/>
      <c r="C88" s="145"/>
      <c r="D88" s="59" t="str">
        <f>+VENTAS!E379</f>
        <v>Retención en la fuente 8%</v>
      </c>
      <c r="E88" s="59" t="str">
        <f>+VENTAS!D379</f>
        <v>2.1.01.06.003</v>
      </c>
      <c r="F88" s="60">
        <f>+VENTAS!L379</f>
        <v>67.156800000000004</v>
      </c>
      <c r="G88" s="60"/>
      <c r="H88" s="148"/>
      <c r="I88" s="150"/>
      <c r="J88" s="151"/>
    </row>
    <row r="89" spans="1:10" x14ac:dyDescent="0.25">
      <c r="A89" s="142"/>
      <c r="B89" s="145"/>
      <c r="C89" s="145"/>
      <c r="D89" s="59" t="s">
        <v>85</v>
      </c>
      <c r="E89" s="59"/>
      <c r="F89" s="60">
        <f>+VENTAS!N378</f>
        <v>842.81784000000005</v>
      </c>
      <c r="G89" s="60"/>
      <c r="H89" s="148"/>
      <c r="I89" s="150"/>
      <c r="J89" s="151"/>
    </row>
    <row r="90" spans="1:10" x14ac:dyDescent="0.25">
      <c r="A90" s="152">
        <v>26</v>
      </c>
      <c r="B90" s="154">
        <f>+B85</f>
        <v>43500</v>
      </c>
      <c r="C90" s="156" t="str">
        <f>+C85</f>
        <v>FACTURA VENTA # 14</v>
      </c>
      <c r="D90" s="61" t="s">
        <v>85</v>
      </c>
      <c r="E90" s="61"/>
      <c r="F90" s="62"/>
      <c r="G90" s="62">
        <f>+F89</f>
        <v>842.81784000000005</v>
      </c>
      <c r="H90" s="158">
        <f>+SUM(G90:G91)</f>
        <v>842.81784000000005</v>
      </c>
      <c r="I90" s="160">
        <f>+SUM(F90:F91)</f>
        <v>842.81784000000005</v>
      </c>
      <c r="J90" s="151"/>
    </row>
    <row r="91" spans="1:10" ht="15.75" thickBot="1" x14ac:dyDescent="0.3">
      <c r="A91" s="153"/>
      <c r="B91" s="155"/>
      <c r="C91" s="157"/>
      <c r="D91" s="69" t="str">
        <f>+VENTAS!C384</f>
        <v>Caja General</v>
      </c>
      <c r="E91" s="65"/>
      <c r="F91" s="66">
        <f>+VENTAS!C385</f>
        <v>842.81784000000005</v>
      </c>
      <c r="G91" s="66"/>
      <c r="H91" s="159"/>
      <c r="I91" s="161"/>
      <c r="J91" s="151"/>
    </row>
    <row r="92" spans="1:10" x14ac:dyDescent="0.25">
      <c r="A92" s="141">
        <v>27</v>
      </c>
      <c r="B92" s="143">
        <f>+VENTAS!C398</f>
        <v>43500</v>
      </c>
      <c r="C92" s="146" t="str">
        <f>+VENTAS!C388</f>
        <v>FACTURA VENTA # 15</v>
      </c>
      <c r="D92" s="63" t="str">
        <f>+VENTAS!P391</f>
        <v>Útiles y papelería</v>
      </c>
      <c r="E92" s="63" t="str">
        <f>+VENTAS!Q391</f>
        <v>5.2.01.02.011</v>
      </c>
      <c r="F92" s="64"/>
      <c r="G92" s="64">
        <f>+VENTAS!E397+VENTAS!E398-VENTAS!E399</f>
        <v>81.5</v>
      </c>
      <c r="H92" s="147">
        <f>+SUM(G92:G96)</f>
        <v>91.28</v>
      </c>
      <c r="I92" s="149">
        <f>+SUM(F92:F96)</f>
        <v>91.28</v>
      </c>
      <c r="J92" s="151" t="s">
        <v>278</v>
      </c>
    </row>
    <row r="93" spans="1:10" x14ac:dyDescent="0.25">
      <c r="A93" s="142"/>
      <c r="B93" s="145"/>
      <c r="C93" s="145"/>
      <c r="D93" s="59" t="s">
        <v>194</v>
      </c>
      <c r="E93" s="59" t="s">
        <v>56</v>
      </c>
      <c r="F93" s="60"/>
      <c r="G93" s="60">
        <f>+VENTAS!E400</f>
        <v>9.7799999999999994</v>
      </c>
      <c r="H93" s="148"/>
      <c r="I93" s="150"/>
      <c r="J93" s="151"/>
    </row>
    <row r="94" spans="1:10" x14ac:dyDescent="0.25">
      <c r="A94" s="142"/>
      <c r="B94" s="145"/>
      <c r="C94" s="145"/>
      <c r="D94" s="59" t="str">
        <f>+VENTAS!E406</f>
        <v>Retención IVA 50%</v>
      </c>
      <c r="E94" s="59" t="str">
        <f>+VENTAS!D406</f>
        <v>2.1.01.07.004</v>
      </c>
      <c r="F94" s="60">
        <f>+VENTAS!L406</f>
        <v>4.8899999999999997</v>
      </c>
      <c r="G94" s="60"/>
      <c r="H94" s="148"/>
      <c r="I94" s="150"/>
      <c r="J94" s="151"/>
    </row>
    <row r="95" spans="1:10" x14ac:dyDescent="0.25">
      <c r="A95" s="142"/>
      <c r="B95" s="145"/>
      <c r="C95" s="145"/>
      <c r="D95" s="59" t="str">
        <f>+VENTAS!E407</f>
        <v>Retención en la fuente 2%</v>
      </c>
      <c r="E95" s="59" t="str">
        <f>+VENTAS!D407</f>
        <v>2.1.01.06.002</v>
      </c>
      <c r="F95" s="60">
        <f>+VENTAS!L407</f>
        <v>1.6300000000000001</v>
      </c>
      <c r="G95" s="60"/>
      <c r="H95" s="148"/>
      <c r="I95" s="150"/>
      <c r="J95" s="151"/>
    </row>
    <row r="96" spans="1:10" x14ac:dyDescent="0.25">
      <c r="A96" s="142"/>
      <c r="B96" s="145"/>
      <c r="C96" s="145"/>
      <c r="D96" s="59" t="s">
        <v>85</v>
      </c>
      <c r="E96" s="59"/>
      <c r="F96" s="60">
        <f>+VENTAS!N406</f>
        <v>84.76</v>
      </c>
      <c r="G96" s="60"/>
      <c r="H96" s="148"/>
      <c r="I96" s="150"/>
      <c r="J96" s="151"/>
    </row>
    <row r="97" spans="1:10" x14ac:dyDescent="0.25">
      <c r="A97" s="152">
        <v>28</v>
      </c>
      <c r="B97" s="154">
        <f>+B92</f>
        <v>43500</v>
      </c>
      <c r="C97" s="156" t="str">
        <f>+C92</f>
        <v>FACTURA VENTA # 15</v>
      </c>
      <c r="D97" s="61" t="s">
        <v>85</v>
      </c>
      <c r="E97" s="61"/>
      <c r="F97" s="62"/>
      <c r="G97" s="62">
        <f>+F96</f>
        <v>84.76</v>
      </c>
      <c r="H97" s="158">
        <f>+SUM(G97:G98)</f>
        <v>84.76</v>
      </c>
      <c r="I97" s="160">
        <f>+SUM(F97:F98)</f>
        <v>84.76</v>
      </c>
      <c r="J97" s="151"/>
    </row>
    <row r="98" spans="1:10" ht="15.75" thickBot="1" x14ac:dyDescent="0.3">
      <c r="A98" s="153"/>
      <c r="B98" s="155"/>
      <c r="C98" s="157"/>
      <c r="D98" s="69" t="str">
        <f>+VENTAS!C412</f>
        <v>Sociedades Financieras</v>
      </c>
      <c r="E98" s="65"/>
      <c r="F98" s="66">
        <f>+VENTAS!C413</f>
        <v>84.76</v>
      </c>
      <c r="G98" s="66"/>
      <c r="H98" s="159"/>
      <c r="I98" s="161"/>
      <c r="J98" s="151"/>
    </row>
    <row r="99" spans="1:10" x14ac:dyDescent="0.25">
      <c r="A99" s="141">
        <v>29</v>
      </c>
      <c r="B99" s="143">
        <f>+VENTAS!C426</f>
        <v>43501</v>
      </c>
      <c r="C99" s="146" t="str">
        <f>+VENTAS!C416</f>
        <v>FACTURA VENTA # 16</v>
      </c>
      <c r="D99" s="63" t="str">
        <f>+VENTAS!P419</f>
        <v>Equipos de computación</v>
      </c>
      <c r="E99" s="63" t="str">
        <f>+VENTAS!Q419</f>
        <v>1.2.01.01.002</v>
      </c>
      <c r="F99" s="64"/>
      <c r="G99" s="64">
        <f>+VENTAS!E425+VENTAS!E426-VENTAS!E427</f>
        <v>840</v>
      </c>
      <c r="H99" s="147">
        <f>+SUM(G99:G103)</f>
        <v>940.8</v>
      </c>
      <c r="I99" s="149">
        <f>+SUM(F99:F103)</f>
        <v>940.8</v>
      </c>
      <c r="J99" s="151" t="s">
        <v>278</v>
      </c>
    </row>
    <row r="100" spans="1:10" x14ac:dyDescent="0.25">
      <c r="A100" s="142"/>
      <c r="B100" s="145"/>
      <c r="C100" s="145"/>
      <c r="D100" s="59" t="s">
        <v>194</v>
      </c>
      <c r="E100" s="59" t="s">
        <v>56</v>
      </c>
      <c r="F100" s="60"/>
      <c r="G100" s="60">
        <f>+VENTAS!E428</f>
        <v>100.8</v>
      </c>
      <c r="H100" s="148"/>
      <c r="I100" s="150"/>
      <c r="J100" s="151"/>
    </row>
    <row r="101" spans="1:10" x14ac:dyDescent="0.25">
      <c r="A101" s="142"/>
      <c r="B101" s="145"/>
      <c r="C101" s="145"/>
      <c r="D101" s="59" t="str">
        <f>+VENTAS!E434</f>
        <v>Retención IVA 70%</v>
      </c>
      <c r="E101" s="59" t="str">
        <f>+VENTAS!D434</f>
        <v>2.1.01.07.005</v>
      </c>
      <c r="F101" s="60">
        <f>+VENTAS!L434</f>
        <v>70.559999999999988</v>
      </c>
      <c r="G101" s="60"/>
      <c r="H101" s="148"/>
      <c r="I101" s="150"/>
      <c r="J101" s="151"/>
    </row>
    <row r="102" spans="1:10" x14ac:dyDescent="0.25">
      <c r="A102" s="142"/>
      <c r="B102" s="145"/>
      <c r="C102" s="145"/>
      <c r="D102" s="59" t="str">
        <f>+VENTAS!E435</f>
        <v>Retención en la fuente 1%</v>
      </c>
      <c r="E102" s="59" t="str">
        <f>+VENTAS!D435</f>
        <v>2.1.01.06.001</v>
      </c>
      <c r="F102" s="60">
        <f>+VENTAS!L435</f>
        <v>8.4</v>
      </c>
      <c r="G102" s="60"/>
      <c r="H102" s="148"/>
      <c r="I102" s="150"/>
      <c r="J102" s="151"/>
    </row>
    <row r="103" spans="1:10" x14ac:dyDescent="0.25">
      <c r="A103" s="142"/>
      <c r="B103" s="145"/>
      <c r="C103" s="145"/>
      <c r="D103" s="59" t="s">
        <v>85</v>
      </c>
      <c r="E103" s="59"/>
      <c r="F103" s="60">
        <f>+VENTAS!N434</f>
        <v>861.83999999999992</v>
      </c>
      <c r="G103" s="60"/>
      <c r="H103" s="148"/>
      <c r="I103" s="150"/>
      <c r="J103" s="151"/>
    </row>
    <row r="104" spans="1:10" x14ac:dyDescent="0.25">
      <c r="A104" s="152">
        <v>30</v>
      </c>
      <c r="B104" s="154">
        <f>+B99</f>
        <v>43501</v>
      </c>
      <c r="C104" s="156" t="str">
        <f>+C99</f>
        <v>FACTURA VENTA # 16</v>
      </c>
      <c r="D104" s="61" t="s">
        <v>85</v>
      </c>
      <c r="E104" s="61"/>
      <c r="F104" s="62"/>
      <c r="G104" s="62">
        <f>+F103</f>
        <v>861.83999999999992</v>
      </c>
      <c r="H104" s="158">
        <f>+SUM(G104:G105)</f>
        <v>861.83999999999992</v>
      </c>
      <c r="I104" s="160">
        <f>+SUM(F104:F105)</f>
        <v>861.83999999999992</v>
      </c>
      <c r="J104" s="151"/>
    </row>
    <row r="105" spans="1:10" ht="15.75" thickBot="1" x14ac:dyDescent="0.3">
      <c r="A105" s="153"/>
      <c r="B105" s="155"/>
      <c r="C105" s="157"/>
      <c r="D105" s="69" t="str">
        <f>+VENTAS!C440</f>
        <v>Bancos XXX XXXX</v>
      </c>
      <c r="E105" s="65"/>
      <c r="F105" s="66">
        <f>+VENTAS!C441</f>
        <v>861.83999999999992</v>
      </c>
      <c r="G105" s="66"/>
      <c r="H105" s="159"/>
      <c r="I105" s="161"/>
      <c r="J105" s="151"/>
    </row>
    <row r="106" spans="1:10" ht="15" customHeight="1" x14ac:dyDescent="0.25">
      <c r="A106" s="141">
        <v>31</v>
      </c>
      <c r="B106" s="143">
        <f>+VENTAS!C454</f>
        <v>43501</v>
      </c>
      <c r="C106" s="146" t="str">
        <f>+VENTAS!C444</f>
        <v>FACTURA VENTA # 17</v>
      </c>
      <c r="D106" s="63" t="str">
        <f>+VENTAS!P447</f>
        <v>Equipos de computación</v>
      </c>
      <c r="E106" s="63" t="str">
        <f>+VENTAS!Q447</f>
        <v>1.2.01.01.002</v>
      </c>
      <c r="F106" s="64"/>
      <c r="G106" s="64">
        <f>+VENTAS!E453+VENTAS!E454-VENTAS!E455</f>
        <v>840</v>
      </c>
      <c r="H106" s="147">
        <f>+SUM(G106:G110)</f>
        <v>940.8</v>
      </c>
      <c r="I106" s="149">
        <f>+SUM(F106:F110)</f>
        <v>940.8</v>
      </c>
      <c r="J106" s="151" t="s">
        <v>278</v>
      </c>
    </row>
    <row r="107" spans="1:10" x14ac:dyDescent="0.25">
      <c r="A107" s="142"/>
      <c r="B107" s="145"/>
      <c r="C107" s="145"/>
      <c r="D107" s="59" t="s">
        <v>194</v>
      </c>
      <c r="E107" s="59" t="s">
        <v>56</v>
      </c>
      <c r="F107" s="60"/>
      <c r="G107" s="60">
        <f>+VENTAS!E456</f>
        <v>100.8</v>
      </c>
      <c r="H107" s="148"/>
      <c r="I107" s="150"/>
      <c r="J107" s="151"/>
    </row>
    <row r="108" spans="1:10" x14ac:dyDescent="0.25">
      <c r="A108" s="142"/>
      <c r="B108" s="145"/>
      <c r="C108" s="145"/>
      <c r="D108" s="59" t="str">
        <f>+VENTAS!E462</f>
        <v>Retención IVA 10%</v>
      </c>
      <c r="E108" s="59" t="str">
        <f>+VENTAS!D462</f>
        <v>2.1.01.07.001</v>
      </c>
      <c r="F108" s="60">
        <f>+VENTAS!L462</f>
        <v>10.08</v>
      </c>
      <c r="G108" s="60"/>
      <c r="H108" s="148"/>
      <c r="I108" s="150"/>
      <c r="J108" s="151"/>
    </row>
    <row r="109" spans="1:10" x14ac:dyDescent="0.25">
      <c r="A109" s="142"/>
      <c r="B109" s="145"/>
      <c r="C109" s="145"/>
      <c r="D109" s="59" t="str">
        <f>+VENTAS!E463</f>
        <v>Retención en la fuente 8%</v>
      </c>
      <c r="E109" s="59" t="str">
        <f>+VENTAS!D463</f>
        <v>2.1.01.06.003</v>
      </c>
      <c r="F109" s="60">
        <f>+VENTAS!L463</f>
        <v>67.2</v>
      </c>
      <c r="G109" s="60"/>
      <c r="H109" s="148"/>
      <c r="I109" s="150"/>
      <c r="J109" s="151"/>
    </row>
    <row r="110" spans="1:10" x14ac:dyDescent="0.25">
      <c r="A110" s="142"/>
      <c r="B110" s="145"/>
      <c r="C110" s="145"/>
      <c r="D110" s="59" t="s">
        <v>85</v>
      </c>
      <c r="E110" s="59"/>
      <c r="F110" s="60">
        <f>+VENTAS!N462</f>
        <v>863.52</v>
      </c>
      <c r="G110" s="60"/>
      <c r="H110" s="148"/>
      <c r="I110" s="150"/>
      <c r="J110" s="151"/>
    </row>
    <row r="111" spans="1:10" x14ac:dyDescent="0.25">
      <c r="A111" s="152">
        <v>32</v>
      </c>
      <c r="B111" s="154">
        <f>+B106</f>
        <v>43501</v>
      </c>
      <c r="C111" s="156" t="str">
        <f>+C106</f>
        <v>FACTURA VENTA # 17</v>
      </c>
      <c r="D111" s="61" t="s">
        <v>85</v>
      </c>
      <c r="E111" s="61"/>
      <c r="F111" s="62"/>
      <c r="G111" s="62">
        <f>+F110</f>
        <v>863.52</v>
      </c>
      <c r="H111" s="158">
        <f>+SUM(G111:G114)</f>
        <v>863.52</v>
      </c>
      <c r="I111" s="160">
        <f>+SUM(F111:F114)</f>
        <v>863.52</v>
      </c>
      <c r="J111" s="151"/>
    </row>
    <row r="112" spans="1:10" x14ac:dyDescent="0.25">
      <c r="A112" s="152"/>
      <c r="B112" s="154"/>
      <c r="C112" s="156"/>
      <c r="D112" s="70" t="str">
        <f>+VENTAS!C468</f>
        <v>Bancos XXX XXXX</v>
      </c>
      <c r="E112" s="61"/>
      <c r="F112" s="62">
        <f>+VENTAS!C469</f>
        <v>259.05599999999998</v>
      </c>
      <c r="G112" s="62"/>
      <c r="H112" s="158"/>
      <c r="I112" s="160"/>
      <c r="J112" s="151"/>
    </row>
    <row r="113" spans="1:10" x14ac:dyDescent="0.25">
      <c r="A113" s="152"/>
      <c r="B113" s="154"/>
      <c r="C113" s="156"/>
      <c r="D113" s="70" t="str">
        <f>+VENTAS!C470</f>
        <v>Bancos XYZ XYZ</v>
      </c>
      <c r="E113" s="61"/>
      <c r="F113" s="62">
        <f>+VENTAS!C471</f>
        <v>259.05599999999998</v>
      </c>
      <c r="G113" s="62"/>
      <c r="H113" s="158"/>
      <c r="I113" s="160"/>
      <c r="J113" s="151"/>
    </row>
    <row r="114" spans="1:10" ht="15.75" thickBot="1" x14ac:dyDescent="0.3">
      <c r="A114" s="153"/>
      <c r="B114" s="155"/>
      <c r="C114" s="157"/>
      <c r="D114" s="69" t="str">
        <f>+VENTAS!C473</f>
        <v>Caja General</v>
      </c>
      <c r="E114" s="65"/>
      <c r="F114" s="66">
        <f>+VENTAS!C474</f>
        <v>345.40800000000002</v>
      </c>
      <c r="G114" s="66"/>
      <c r="H114" s="159"/>
      <c r="I114" s="161"/>
      <c r="J114" s="151"/>
    </row>
    <row r="115" spans="1:10" x14ac:dyDescent="0.25">
      <c r="A115" s="141">
        <v>33</v>
      </c>
      <c r="B115" s="143">
        <f>+VENTAS!C487</f>
        <v>43501</v>
      </c>
      <c r="C115" s="146" t="str">
        <f>+VENTAS!C477</f>
        <v>FACTURA VENTA # 18</v>
      </c>
      <c r="D115" s="63" t="str">
        <f>+VENTAS!P480</f>
        <v>Equipos de computación</v>
      </c>
      <c r="E115" s="63" t="str">
        <f>+VENTAS!Q480</f>
        <v>1.2.01.01.002</v>
      </c>
      <c r="F115" s="64"/>
      <c r="G115" s="64">
        <f>+VENTAS!E486+VENTAS!E487-VENTAS!E488</f>
        <v>840</v>
      </c>
      <c r="H115" s="147">
        <f>+SUM(G115:G119)</f>
        <v>940.8</v>
      </c>
      <c r="I115" s="149">
        <f>+SUM(F115:F119)</f>
        <v>940.8</v>
      </c>
      <c r="J115" s="151" t="s">
        <v>278</v>
      </c>
    </row>
    <row r="116" spans="1:10" x14ac:dyDescent="0.25">
      <c r="A116" s="142"/>
      <c r="B116" s="145"/>
      <c r="C116" s="145"/>
      <c r="D116" s="59" t="s">
        <v>194</v>
      </c>
      <c r="E116" s="59" t="s">
        <v>56</v>
      </c>
      <c r="F116" s="60"/>
      <c r="G116" s="60">
        <f>+VENTAS!E489</f>
        <v>100.8</v>
      </c>
      <c r="H116" s="148"/>
      <c r="I116" s="150"/>
      <c r="J116" s="151"/>
    </row>
    <row r="117" spans="1:10" x14ac:dyDescent="0.25">
      <c r="A117" s="142"/>
      <c r="B117" s="145"/>
      <c r="C117" s="145"/>
      <c r="D117" s="59" t="str">
        <f>+VENTAS!E495</f>
        <v>Retención IVA 20%</v>
      </c>
      <c r="E117" s="59" t="str">
        <f>+VENTAS!D495</f>
        <v>2.1.01.07.002</v>
      </c>
      <c r="F117" s="60">
        <f>+VENTAS!L495</f>
        <v>20.16</v>
      </c>
      <c r="G117" s="60"/>
      <c r="H117" s="148"/>
      <c r="I117" s="150"/>
      <c r="J117" s="151"/>
    </row>
    <row r="118" spans="1:10" x14ac:dyDescent="0.25">
      <c r="A118" s="142"/>
      <c r="B118" s="145"/>
      <c r="C118" s="145"/>
      <c r="D118" s="59" t="str">
        <f>+VENTAS!E496</f>
        <v>Retención en la fuente 2%</v>
      </c>
      <c r="E118" s="59" t="str">
        <f>+VENTAS!D496</f>
        <v>2.1.01.06.002</v>
      </c>
      <c r="F118" s="60">
        <f>+VENTAS!L496</f>
        <v>16.8</v>
      </c>
      <c r="G118" s="60"/>
      <c r="H118" s="148"/>
      <c r="I118" s="150"/>
      <c r="J118" s="151"/>
    </row>
    <row r="119" spans="1:10" x14ac:dyDescent="0.25">
      <c r="A119" s="142"/>
      <c r="B119" s="145"/>
      <c r="C119" s="145"/>
      <c r="D119" s="59" t="s">
        <v>85</v>
      </c>
      <c r="E119" s="59"/>
      <c r="F119" s="60">
        <f>+VENTAS!N495</f>
        <v>903.83999999999992</v>
      </c>
      <c r="G119" s="60"/>
      <c r="H119" s="148"/>
      <c r="I119" s="150"/>
      <c r="J119" s="151"/>
    </row>
    <row r="120" spans="1:10" x14ac:dyDescent="0.25">
      <c r="A120" s="152">
        <v>34</v>
      </c>
      <c r="B120" s="154">
        <f>+B115</f>
        <v>43501</v>
      </c>
      <c r="C120" s="156" t="str">
        <f>+C115</f>
        <v>FACTURA VENTA # 18</v>
      </c>
      <c r="D120" s="61" t="s">
        <v>85</v>
      </c>
      <c r="E120" s="61"/>
      <c r="F120" s="62"/>
      <c r="G120" s="62">
        <f>+VENTAS!C502</f>
        <v>542.30399999999997</v>
      </c>
      <c r="H120" s="158">
        <f>+SUM(G120:G121)</f>
        <v>542.30399999999997</v>
      </c>
      <c r="I120" s="160">
        <f>+SUM(F120:F121)</f>
        <v>542.30399999999997</v>
      </c>
      <c r="J120" s="151"/>
    </row>
    <row r="121" spans="1:10" ht="15.75" thickBot="1" x14ac:dyDescent="0.3">
      <c r="A121" s="153"/>
      <c r="B121" s="155"/>
      <c r="C121" s="157"/>
      <c r="D121" s="69" t="str">
        <f>+VENTAS!C501</f>
        <v>Bancos XXX XXXX</v>
      </c>
      <c r="E121" s="65"/>
      <c r="F121" s="66">
        <f>+VENTAS!C502</f>
        <v>542.30399999999997</v>
      </c>
      <c r="G121" s="66"/>
      <c r="H121" s="159"/>
      <c r="I121" s="161"/>
      <c r="J121" s="151"/>
    </row>
    <row r="122" spans="1:10" x14ac:dyDescent="0.25">
      <c r="A122" s="141">
        <v>35</v>
      </c>
      <c r="B122" s="143">
        <f>+VENTAS!C518</f>
        <v>43502</v>
      </c>
      <c r="C122" s="146" t="str">
        <f>+VENTAS!C508</f>
        <v>FACTURA VENTA # 19</v>
      </c>
      <c r="D122" s="63" t="str">
        <f>+VENTAS!P511</f>
        <v>Publicidad y propaganda</v>
      </c>
      <c r="E122" s="63" t="str">
        <f>+VENTAS!Q511</f>
        <v>5.2.01.02.006</v>
      </c>
      <c r="F122" s="64"/>
      <c r="G122" s="64">
        <f>+VENTAS!E517+VENTAS!E518-VENTAS!E519</f>
        <v>590</v>
      </c>
      <c r="H122" s="147">
        <f>+SUM(G122:G124)</f>
        <v>660.8</v>
      </c>
      <c r="I122" s="149">
        <f>+SUM(F122:F124)</f>
        <v>660.8</v>
      </c>
      <c r="J122" s="151" t="s">
        <v>278</v>
      </c>
    </row>
    <row r="123" spans="1:10" x14ac:dyDescent="0.25">
      <c r="A123" s="142"/>
      <c r="B123" s="145"/>
      <c r="C123" s="145"/>
      <c r="D123" s="59" t="s">
        <v>194</v>
      </c>
      <c r="E123" s="59" t="s">
        <v>56</v>
      </c>
      <c r="F123" s="60"/>
      <c r="G123" s="60">
        <f>+VENTAS!E520</f>
        <v>70.8</v>
      </c>
      <c r="H123" s="148"/>
      <c r="I123" s="150"/>
      <c r="J123" s="151"/>
    </row>
    <row r="124" spans="1:10" ht="15.75" thickBot="1" x14ac:dyDescent="0.3">
      <c r="A124" s="162"/>
      <c r="B124" s="163"/>
      <c r="C124" s="163"/>
      <c r="D124" s="67" t="s">
        <v>85</v>
      </c>
      <c r="E124" s="67"/>
      <c r="F124" s="68">
        <f>+VENTAS!E521</f>
        <v>660.8</v>
      </c>
      <c r="G124" s="68"/>
      <c r="H124" s="164"/>
      <c r="I124" s="165"/>
      <c r="J124" s="151"/>
    </row>
    <row r="125" spans="1:10" x14ac:dyDescent="0.25">
      <c r="A125" s="141">
        <v>36</v>
      </c>
      <c r="B125" s="143">
        <f>+VENTAS!C541</f>
        <v>43502</v>
      </c>
      <c r="C125" s="146" t="str">
        <f>+VENTAS!C531</f>
        <v>FACTURA VENTA # 20</v>
      </c>
      <c r="D125" s="63" t="str">
        <f>+VENTAS!P534</f>
        <v>Publicidad y propaganda</v>
      </c>
      <c r="E125" s="63" t="str">
        <f>+VENTAS!Q534</f>
        <v>5.2.01.02.006</v>
      </c>
      <c r="F125" s="64"/>
      <c r="G125" s="64">
        <f>+VENTAS!E540+VENTAS!E541-VENTAS!E542</f>
        <v>1200</v>
      </c>
      <c r="H125" s="147">
        <f>+SUM(G125:G127)</f>
        <v>1344</v>
      </c>
      <c r="I125" s="149">
        <f>+SUM(F125:F127)</f>
        <v>1344</v>
      </c>
      <c r="J125" s="151" t="s">
        <v>278</v>
      </c>
    </row>
    <row r="126" spans="1:10" x14ac:dyDescent="0.25">
      <c r="A126" s="142"/>
      <c r="B126" s="145"/>
      <c r="C126" s="145"/>
      <c r="D126" s="59" t="s">
        <v>194</v>
      </c>
      <c r="E126" s="59" t="s">
        <v>56</v>
      </c>
      <c r="F126" s="60"/>
      <c r="G126" s="60">
        <f>+VENTAS!E543</f>
        <v>144</v>
      </c>
      <c r="H126" s="148"/>
      <c r="I126" s="150"/>
      <c r="J126" s="151"/>
    </row>
    <row r="127" spans="1:10" x14ac:dyDescent="0.25">
      <c r="A127" s="142"/>
      <c r="B127" s="145"/>
      <c r="C127" s="145"/>
      <c r="D127" s="59" t="s">
        <v>85</v>
      </c>
      <c r="E127" s="59"/>
      <c r="F127" s="60">
        <f>+VENTAS!E544</f>
        <v>1344</v>
      </c>
      <c r="G127" s="60"/>
      <c r="H127" s="148"/>
      <c r="I127" s="150"/>
      <c r="J127" s="151"/>
    </row>
    <row r="128" spans="1:10" x14ac:dyDescent="0.25">
      <c r="A128" s="152">
        <v>37</v>
      </c>
      <c r="B128" s="154">
        <f>+B125</f>
        <v>43502</v>
      </c>
      <c r="C128" s="156" t="str">
        <f>+C125</f>
        <v>FACTURA VENTA # 20</v>
      </c>
      <c r="D128" s="61" t="s">
        <v>85</v>
      </c>
      <c r="E128" s="61"/>
      <c r="F128" s="62"/>
      <c r="G128" s="62">
        <f>+F127</f>
        <v>1344</v>
      </c>
      <c r="H128" s="158">
        <f>+SUM(G128:G129)</f>
        <v>1344</v>
      </c>
      <c r="I128" s="160">
        <f>+SUM(F128:F129)</f>
        <v>1344</v>
      </c>
      <c r="J128" s="151"/>
    </row>
    <row r="129" spans="1:10" ht="15.75" thickBot="1" x14ac:dyDescent="0.3">
      <c r="A129" s="153"/>
      <c r="B129" s="155"/>
      <c r="C129" s="157"/>
      <c r="D129" s="69" t="str">
        <f>+VENTAS!C550</f>
        <v>Caja General</v>
      </c>
      <c r="E129" s="65"/>
      <c r="F129" s="66">
        <f>+VENTAS!C551</f>
        <v>1344</v>
      </c>
      <c r="G129" s="66"/>
      <c r="H129" s="159"/>
      <c r="I129" s="161"/>
      <c r="J129" s="151"/>
    </row>
    <row r="130" spans="1:10" x14ac:dyDescent="0.25">
      <c r="A130" s="141">
        <v>38</v>
      </c>
      <c r="B130" s="143">
        <f>+VENTAS!C541</f>
        <v>43502</v>
      </c>
      <c r="C130" s="146" t="str">
        <f>+VENTAS!C554</f>
        <v>FACTURA VENTA # 21</v>
      </c>
      <c r="D130" s="63" t="str">
        <f>+VENTAS!P534</f>
        <v>Publicidad y propaganda</v>
      </c>
      <c r="E130" s="63" t="str">
        <f>+VENTAS!Q534</f>
        <v>5.2.01.02.006</v>
      </c>
      <c r="F130" s="64"/>
      <c r="G130" s="64">
        <f>+VENTAS!E540+VENTAS!E541-VENTAS!E542</f>
        <v>1200</v>
      </c>
      <c r="H130" s="147">
        <f>+SUM(G130:G132)</f>
        <v>1344</v>
      </c>
      <c r="I130" s="149">
        <f>+SUM(F130:F132)</f>
        <v>1344</v>
      </c>
      <c r="J130" s="151" t="s">
        <v>278</v>
      </c>
    </row>
    <row r="131" spans="1:10" x14ac:dyDescent="0.25">
      <c r="A131" s="142"/>
      <c r="B131" s="145"/>
      <c r="C131" s="145"/>
      <c r="D131" s="59" t="s">
        <v>194</v>
      </c>
      <c r="E131" s="59" t="s">
        <v>56</v>
      </c>
      <c r="F131" s="60"/>
      <c r="G131" s="60">
        <f>+VENTAS!E543</f>
        <v>144</v>
      </c>
      <c r="H131" s="148"/>
      <c r="I131" s="150"/>
      <c r="J131" s="151"/>
    </row>
    <row r="132" spans="1:10" x14ac:dyDescent="0.25">
      <c r="A132" s="142"/>
      <c r="B132" s="145"/>
      <c r="C132" s="145"/>
      <c r="D132" s="59" t="s">
        <v>85</v>
      </c>
      <c r="E132" s="59"/>
      <c r="F132" s="60">
        <f>+VENTAS!E544</f>
        <v>1344</v>
      </c>
      <c r="G132" s="60"/>
      <c r="H132" s="148"/>
      <c r="I132" s="150"/>
      <c r="J132" s="151"/>
    </row>
    <row r="133" spans="1:10" x14ac:dyDescent="0.25">
      <c r="A133" s="152">
        <v>39</v>
      </c>
      <c r="B133" s="154">
        <f>+B130</f>
        <v>43502</v>
      </c>
      <c r="C133" s="156" t="str">
        <f>+C130</f>
        <v>FACTURA VENTA # 21</v>
      </c>
      <c r="D133" s="61" t="s">
        <v>85</v>
      </c>
      <c r="E133" s="61"/>
      <c r="F133" s="62"/>
      <c r="G133" s="62">
        <f>+F132</f>
        <v>1344</v>
      </c>
      <c r="H133" s="158">
        <f>+SUM(G133:G134)</f>
        <v>1344</v>
      </c>
      <c r="I133" s="160">
        <f>+SUM(F133:F134)</f>
        <v>660.8</v>
      </c>
      <c r="J133" s="151"/>
    </row>
    <row r="134" spans="1:10" ht="15.75" thickBot="1" x14ac:dyDescent="0.3">
      <c r="A134" s="153"/>
      <c r="B134" s="155"/>
      <c r="C134" s="157"/>
      <c r="D134" s="69" t="str">
        <f>+VENTAS!C573</f>
        <v>Sociedades Financieras</v>
      </c>
      <c r="E134" s="65"/>
      <c r="F134" s="66">
        <f>+VENTAS!C574</f>
        <v>660.8</v>
      </c>
      <c r="G134" s="66"/>
      <c r="H134" s="159"/>
      <c r="I134" s="161"/>
      <c r="J134" s="151"/>
    </row>
    <row r="135" spans="1:10" x14ac:dyDescent="0.25">
      <c r="A135" s="141">
        <v>40</v>
      </c>
      <c r="B135" s="143">
        <f>+VENTAS!C587</f>
        <v>43503</v>
      </c>
      <c r="C135" s="146" t="str">
        <f>+VENTAS!C577</f>
        <v>FACTURA VENTA # 22</v>
      </c>
      <c r="D135" s="63" t="str">
        <f>+VENTAS!P580</f>
        <v>atención al personal</v>
      </c>
      <c r="E135" s="63" t="str">
        <f>+VENTAS!Q580</f>
        <v>5.2.01.01.012</v>
      </c>
      <c r="F135" s="64"/>
      <c r="G135" s="64">
        <f>+VENTAS!E586+VENTAS!E587-VENTAS!E588</f>
        <v>90</v>
      </c>
      <c r="H135" s="147">
        <f>+SUM(G135:G137)</f>
        <v>100.8</v>
      </c>
      <c r="I135" s="149">
        <f>+SUM(F135:F137)</f>
        <v>100.8</v>
      </c>
      <c r="J135" s="151" t="s">
        <v>278</v>
      </c>
    </row>
    <row r="136" spans="1:10" x14ac:dyDescent="0.25">
      <c r="A136" s="142"/>
      <c r="B136" s="145"/>
      <c r="C136" s="145"/>
      <c r="D136" s="59" t="s">
        <v>194</v>
      </c>
      <c r="E136" s="59" t="s">
        <v>56</v>
      </c>
      <c r="F136" s="60"/>
      <c r="G136" s="60">
        <f>+VENTAS!E589</f>
        <v>10.799999999999999</v>
      </c>
      <c r="H136" s="148"/>
      <c r="I136" s="150"/>
      <c r="J136" s="151"/>
    </row>
    <row r="137" spans="1:10" x14ac:dyDescent="0.25">
      <c r="A137" s="142"/>
      <c r="B137" s="145"/>
      <c r="C137" s="145"/>
      <c r="D137" s="59" t="s">
        <v>85</v>
      </c>
      <c r="E137" s="59"/>
      <c r="F137" s="60">
        <f>+VENTAS!E590</f>
        <v>100.8</v>
      </c>
      <c r="G137" s="60"/>
      <c r="H137" s="148"/>
      <c r="I137" s="150"/>
      <c r="J137" s="151"/>
    </row>
    <row r="138" spans="1:10" x14ac:dyDescent="0.25">
      <c r="A138" s="152">
        <v>41</v>
      </c>
      <c r="B138" s="154">
        <f>+B135</f>
        <v>43503</v>
      </c>
      <c r="C138" s="156" t="str">
        <f>+C135</f>
        <v>FACTURA VENTA # 22</v>
      </c>
      <c r="D138" s="61" t="s">
        <v>85</v>
      </c>
      <c r="E138" s="61"/>
      <c r="F138" s="62"/>
      <c r="G138" s="62">
        <f>+F137</f>
        <v>100.8</v>
      </c>
      <c r="H138" s="158">
        <f>+SUM(G138:G139)</f>
        <v>100.8</v>
      </c>
      <c r="I138" s="160">
        <f>+SUM(F138:F139)</f>
        <v>100.8</v>
      </c>
      <c r="J138" s="151"/>
    </row>
    <row r="139" spans="1:10" ht="15.75" thickBot="1" x14ac:dyDescent="0.3">
      <c r="A139" s="153"/>
      <c r="B139" s="155"/>
      <c r="C139" s="157"/>
      <c r="D139" s="69" t="str">
        <f>+VENTAS!C596</f>
        <v>Bancos XXX XXXX</v>
      </c>
      <c r="E139" s="65"/>
      <c r="F139" s="66">
        <f>+VENTAS!C597</f>
        <v>100.8</v>
      </c>
      <c r="G139" s="66"/>
      <c r="H139" s="159"/>
      <c r="I139" s="161"/>
      <c r="J139" s="151"/>
    </row>
    <row r="140" spans="1:10" x14ac:dyDescent="0.25">
      <c r="A140" s="141">
        <v>42</v>
      </c>
      <c r="B140" s="143">
        <f>+VENTAS!C610</f>
        <v>43503</v>
      </c>
      <c r="C140" s="146" t="str">
        <f>+VENTAS!C600</f>
        <v>FACTURA VENTA # 23</v>
      </c>
      <c r="D140" s="63" t="str">
        <f>+VENTAS!P603</f>
        <v>atención al personal</v>
      </c>
      <c r="E140" s="63" t="str">
        <f>+VENTAS!Q603</f>
        <v>5.2.01.01.012</v>
      </c>
      <c r="F140" s="64"/>
      <c r="G140" s="64">
        <f>+VENTAS!E609+VENTAS!E610-VENTAS!E611</f>
        <v>90</v>
      </c>
      <c r="H140" s="147">
        <f>+SUM(G140:G142)</f>
        <v>100.8</v>
      </c>
      <c r="I140" s="149">
        <f>+SUM(F140:F142)</f>
        <v>100.8</v>
      </c>
      <c r="J140" s="151" t="s">
        <v>278</v>
      </c>
    </row>
    <row r="141" spans="1:10" x14ac:dyDescent="0.25">
      <c r="A141" s="142"/>
      <c r="B141" s="145"/>
      <c r="C141" s="145"/>
      <c r="D141" s="59" t="s">
        <v>194</v>
      </c>
      <c r="E141" s="59" t="s">
        <v>56</v>
      </c>
      <c r="F141" s="60"/>
      <c r="G141" s="60">
        <f>+VENTAS!E612</f>
        <v>10.799999999999999</v>
      </c>
      <c r="H141" s="148"/>
      <c r="I141" s="150"/>
      <c r="J141" s="151"/>
    </row>
    <row r="142" spans="1:10" x14ac:dyDescent="0.25">
      <c r="A142" s="142"/>
      <c r="B142" s="145"/>
      <c r="C142" s="145"/>
      <c r="D142" s="59" t="s">
        <v>85</v>
      </c>
      <c r="E142" s="59"/>
      <c r="F142" s="60">
        <f>+VENTAS!E613</f>
        <v>100.8</v>
      </c>
      <c r="G142" s="60"/>
      <c r="H142" s="148"/>
      <c r="I142" s="150"/>
      <c r="J142" s="151"/>
    </row>
    <row r="143" spans="1:10" x14ac:dyDescent="0.25">
      <c r="A143" s="152">
        <v>43</v>
      </c>
      <c r="B143" s="154">
        <f>+B140</f>
        <v>43503</v>
      </c>
      <c r="C143" s="156" t="str">
        <f>+C140</f>
        <v>FACTURA VENTA # 23</v>
      </c>
      <c r="D143" s="61" t="s">
        <v>85</v>
      </c>
      <c r="E143" s="61"/>
      <c r="F143" s="62"/>
      <c r="G143" s="62">
        <f>+F142</f>
        <v>100.8</v>
      </c>
      <c r="H143" s="158">
        <f>+SUM(G143:G146)</f>
        <v>100.8</v>
      </c>
      <c r="I143" s="160">
        <f>+SUM(F143:F146)</f>
        <v>100.8</v>
      </c>
      <c r="J143" s="151"/>
    </row>
    <row r="144" spans="1:10" x14ac:dyDescent="0.25">
      <c r="A144" s="152"/>
      <c r="B144" s="154"/>
      <c r="C144" s="156"/>
      <c r="D144" s="70" t="str">
        <f>+VENTAS!C620</f>
        <v>Bancos XXX XXXX</v>
      </c>
      <c r="E144" s="61"/>
      <c r="F144" s="62">
        <f>+VENTAS!C621</f>
        <v>30.24</v>
      </c>
      <c r="G144" s="62"/>
      <c r="H144" s="158"/>
      <c r="I144" s="160"/>
      <c r="J144" s="151"/>
    </row>
    <row r="145" spans="1:10" x14ac:dyDescent="0.25">
      <c r="A145" s="152"/>
      <c r="B145" s="154"/>
      <c r="C145" s="156"/>
      <c r="D145" s="70" t="str">
        <f>+VENTAS!C622</f>
        <v>Bancos XYZ XYZ</v>
      </c>
      <c r="E145" s="61"/>
      <c r="F145" s="62">
        <f>+VENTAS!C623</f>
        <v>30.24</v>
      </c>
      <c r="G145" s="62"/>
      <c r="H145" s="158"/>
      <c r="I145" s="160"/>
      <c r="J145" s="151"/>
    </row>
    <row r="146" spans="1:10" ht="15.75" thickBot="1" x14ac:dyDescent="0.3">
      <c r="A146" s="153"/>
      <c r="B146" s="155"/>
      <c r="C146" s="157"/>
      <c r="D146" s="69" t="str">
        <f>+VENTAS!C625</f>
        <v>Caja General</v>
      </c>
      <c r="E146" s="65"/>
      <c r="F146" s="66">
        <f>+VENTAS!C626</f>
        <v>40.32</v>
      </c>
      <c r="G146" s="66"/>
      <c r="H146" s="159"/>
      <c r="I146" s="161"/>
      <c r="J146" s="151"/>
    </row>
    <row r="147" spans="1:10" x14ac:dyDescent="0.25">
      <c r="A147" s="141">
        <v>44</v>
      </c>
      <c r="B147" s="143">
        <f>+VENTAS!C639</f>
        <v>43503</v>
      </c>
      <c r="C147" s="146" t="str">
        <f>+VENTAS!C629</f>
        <v>FACTURA VENTA # 24</v>
      </c>
      <c r="D147" s="63" t="str">
        <f>+VENTAS!P632</f>
        <v>atención al personal</v>
      </c>
      <c r="E147" s="63" t="str">
        <f>+VENTAS!Q632</f>
        <v>5.2.01.01.012</v>
      </c>
      <c r="F147" s="64"/>
      <c r="G147" s="64">
        <f>+VENTAS!E638+VENTAS!E639-VENTAS!E640</f>
        <v>322.92</v>
      </c>
      <c r="H147" s="147">
        <f>+SUM(G147:G149)</f>
        <v>361.67040000000003</v>
      </c>
      <c r="I147" s="149">
        <f>+SUM(F147:F149)</f>
        <v>361.67040000000003</v>
      </c>
      <c r="J147" s="151" t="s">
        <v>278</v>
      </c>
    </row>
    <row r="148" spans="1:10" x14ac:dyDescent="0.25">
      <c r="A148" s="142"/>
      <c r="B148" s="145"/>
      <c r="C148" s="145"/>
      <c r="D148" s="59" t="s">
        <v>194</v>
      </c>
      <c r="E148" s="59" t="s">
        <v>56</v>
      </c>
      <c r="F148" s="60"/>
      <c r="G148" s="60">
        <f>+VENTAS!E641</f>
        <v>38.750399999999999</v>
      </c>
      <c r="H148" s="148"/>
      <c r="I148" s="150"/>
      <c r="J148" s="151"/>
    </row>
    <row r="149" spans="1:10" x14ac:dyDescent="0.25">
      <c r="A149" s="142"/>
      <c r="B149" s="145"/>
      <c r="C149" s="145"/>
      <c r="D149" s="59" t="s">
        <v>85</v>
      </c>
      <c r="E149" s="59"/>
      <c r="F149" s="60">
        <f>+VENTAS!E642</f>
        <v>361.67040000000003</v>
      </c>
      <c r="G149" s="60"/>
      <c r="H149" s="148"/>
      <c r="I149" s="150"/>
      <c r="J149" s="151"/>
    </row>
    <row r="150" spans="1:10" x14ac:dyDescent="0.25">
      <c r="A150" s="152">
        <v>45</v>
      </c>
      <c r="B150" s="154">
        <f>+B147</f>
        <v>43503</v>
      </c>
      <c r="C150" s="156" t="str">
        <f>+C147</f>
        <v>FACTURA VENTA # 24</v>
      </c>
      <c r="D150" s="61" t="s">
        <v>85</v>
      </c>
      <c r="E150" s="61"/>
      <c r="F150" s="62"/>
      <c r="G150" s="62">
        <f>+VENTAS!C649</f>
        <v>217.00224</v>
      </c>
      <c r="H150" s="158">
        <f>+SUM(G150:G151)</f>
        <v>217.00224</v>
      </c>
      <c r="I150" s="160">
        <f>+SUM(F150:F151)</f>
        <v>217.00224</v>
      </c>
      <c r="J150" s="151"/>
    </row>
    <row r="151" spans="1:10" ht="15.75" thickBot="1" x14ac:dyDescent="0.3">
      <c r="A151" s="153"/>
      <c r="B151" s="155"/>
      <c r="C151" s="157"/>
      <c r="D151" s="69" t="str">
        <f>+VENTAS!C648</f>
        <v>Bancos XXX XXXX</v>
      </c>
      <c r="E151" s="65"/>
      <c r="F151" s="66">
        <f>+VENTAS!C649</f>
        <v>217.00224</v>
      </c>
      <c r="G151" s="66"/>
      <c r="H151" s="159"/>
      <c r="I151" s="161"/>
      <c r="J151" s="151"/>
    </row>
    <row r="152" spans="1:10" ht="15" customHeight="1" x14ac:dyDescent="0.25">
      <c r="A152" s="141">
        <v>46</v>
      </c>
      <c r="B152" s="143">
        <f>+VENTAS!C693</f>
        <v>43504</v>
      </c>
      <c r="C152" s="146" t="str">
        <f>+VENTAS!C655</f>
        <v>FACTURA VENTA # 25</v>
      </c>
      <c r="D152" s="63" t="s">
        <v>69</v>
      </c>
      <c r="E152" s="63" t="s">
        <v>46</v>
      </c>
      <c r="F152" s="64"/>
      <c r="G152" s="64">
        <f>+VENTAS!J658+VENTAS!J659+VENTAS!J660+VENTAS!J661</f>
        <v>424.4316</v>
      </c>
      <c r="H152" s="147">
        <f>+SUM(G152:G157)</f>
        <v>755.36339199999998</v>
      </c>
      <c r="I152" s="149">
        <f>+SUM(F152:F157)</f>
        <v>755.36339199999998</v>
      </c>
      <c r="J152" s="151" t="s">
        <v>278</v>
      </c>
    </row>
    <row r="153" spans="1:10" x14ac:dyDescent="0.25">
      <c r="A153" s="142"/>
      <c r="B153" s="144"/>
      <c r="C153" s="145"/>
      <c r="D153" s="59" t="str">
        <f>+VENTAS!P662</f>
        <v>ARRIENDO</v>
      </c>
      <c r="E153" s="59" t="str">
        <f>+VENTAS!Q662</f>
        <v>5.2.01.02.014</v>
      </c>
      <c r="F153" s="60"/>
      <c r="G153" s="60">
        <f>+VENTAS!J662</f>
        <v>250</v>
      </c>
      <c r="H153" s="148"/>
      <c r="I153" s="150"/>
      <c r="J153" s="151"/>
    </row>
    <row r="154" spans="1:10" x14ac:dyDescent="0.25">
      <c r="A154" s="142"/>
      <c r="B154" s="145"/>
      <c r="C154" s="145"/>
      <c r="D154" s="59" t="s">
        <v>194</v>
      </c>
      <c r="E154" s="59" t="s">
        <v>56</v>
      </c>
      <c r="F154" s="60"/>
      <c r="G154" s="60">
        <f>+VENTAS!E667</f>
        <v>80.931792000000002</v>
      </c>
      <c r="H154" s="148"/>
      <c r="I154" s="150"/>
      <c r="J154" s="151"/>
    </row>
    <row r="155" spans="1:10" x14ac:dyDescent="0.25">
      <c r="A155" s="142"/>
      <c r="B155" s="145"/>
      <c r="C155" s="145"/>
      <c r="D155" s="59" t="str">
        <f>+VENTAS!E673</f>
        <v>Retención IVA 100%</v>
      </c>
      <c r="E155" s="59" t="str">
        <f>+VENTAS!D673</f>
        <v>2.1.01.07.006</v>
      </c>
      <c r="F155" s="60">
        <f>+VENTAS!L673</f>
        <v>80.931792000000002</v>
      </c>
      <c r="G155" s="60"/>
      <c r="H155" s="148"/>
      <c r="I155" s="150"/>
      <c r="J155" s="151"/>
    </row>
    <row r="156" spans="1:10" x14ac:dyDescent="0.25">
      <c r="A156" s="142"/>
      <c r="B156" s="145"/>
      <c r="C156" s="145"/>
      <c r="D156" s="59" t="str">
        <f>+VENTAS!E674</f>
        <v>Retención en la fuente 1%</v>
      </c>
      <c r="E156" s="59" t="str">
        <f>+VENTAS!D674</f>
        <v>2.1.01.06.001</v>
      </c>
      <c r="F156" s="60">
        <f>+VENTAS!L674</f>
        <v>6.7443160000000004</v>
      </c>
      <c r="G156" s="60"/>
      <c r="H156" s="148"/>
      <c r="I156" s="150"/>
      <c r="J156" s="151"/>
    </row>
    <row r="157" spans="1:10" ht="15.75" thickBot="1" x14ac:dyDescent="0.3">
      <c r="A157" s="162"/>
      <c r="B157" s="163"/>
      <c r="C157" s="163"/>
      <c r="D157" s="67" t="s">
        <v>85</v>
      </c>
      <c r="E157" s="67"/>
      <c r="F157" s="68">
        <f>+VENTAS!N673</f>
        <v>667.68728399999998</v>
      </c>
      <c r="G157" s="68"/>
      <c r="H157" s="164"/>
      <c r="I157" s="165"/>
      <c r="J157" s="151"/>
    </row>
    <row r="158" spans="1:10" x14ac:dyDescent="0.25">
      <c r="A158" s="141">
        <v>47</v>
      </c>
      <c r="B158" s="143">
        <f>+VENTAS!C693</f>
        <v>43504</v>
      </c>
      <c r="C158" s="146" t="str">
        <f>+VENTAS!C683</f>
        <v>FACTURA VENTA # 26</v>
      </c>
      <c r="D158" s="63" t="s">
        <v>69</v>
      </c>
      <c r="E158" s="63" t="s">
        <v>46</v>
      </c>
      <c r="F158" s="64"/>
      <c r="G158" s="64">
        <f>+VENTAS!J658+VENTAS!J659+VENTAS!J660+VENTAS!J661</f>
        <v>424.4316</v>
      </c>
      <c r="H158" s="147">
        <f>+SUM(G158:G163)</f>
        <v>755.36339199999998</v>
      </c>
      <c r="I158" s="149">
        <f>+SUM(F158:F163)</f>
        <v>755.36339199999998</v>
      </c>
      <c r="J158" s="151" t="s">
        <v>278</v>
      </c>
    </row>
    <row r="159" spans="1:10" x14ac:dyDescent="0.25">
      <c r="A159" s="142"/>
      <c r="B159" s="144"/>
      <c r="C159" s="145"/>
      <c r="D159" s="59" t="str">
        <f>+VENTAS!P662</f>
        <v>ARRIENDO</v>
      </c>
      <c r="E159" s="59" t="str">
        <f>+VENTAS!Q662</f>
        <v>5.2.01.02.014</v>
      </c>
      <c r="F159" s="60"/>
      <c r="G159" s="60">
        <f>+VENTAS!J662</f>
        <v>250</v>
      </c>
      <c r="H159" s="148"/>
      <c r="I159" s="150"/>
      <c r="J159" s="151"/>
    </row>
    <row r="160" spans="1:10" x14ac:dyDescent="0.25">
      <c r="A160" s="142"/>
      <c r="B160" s="145"/>
      <c r="C160" s="145"/>
      <c r="D160" s="59" t="s">
        <v>194</v>
      </c>
      <c r="E160" s="59" t="s">
        <v>56</v>
      </c>
      <c r="F160" s="60"/>
      <c r="G160" s="60">
        <f>+VENTAS!E667</f>
        <v>80.931792000000002</v>
      </c>
      <c r="H160" s="148"/>
      <c r="I160" s="150"/>
      <c r="J160" s="151"/>
    </row>
    <row r="161" spans="1:10" x14ac:dyDescent="0.25">
      <c r="A161" s="142"/>
      <c r="B161" s="145"/>
      <c r="C161" s="145"/>
      <c r="D161" s="59" t="str">
        <f>+VENTAS!E673</f>
        <v>Retención IVA 100%</v>
      </c>
      <c r="E161" s="59" t="str">
        <f>+VENTAS!D673</f>
        <v>2.1.01.07.006</v>
      </c>
      <c r="F161" s="60">
        <f>+VENTAS!L701</f>
        <v>24.279537600000001</v>
      </c>
      <c r="G161" s="60"/>
      <c r="H161" s="148"/>
      <c r="I161" s="150"/>
      <c r="J161" s="151"/>
    </row>
    <row r="162" spans="1:10" x14ac:dyDescent="0.25">
      <c r="A162" s="142"/>
      <c r="B162" s="145"/>
      <c r="C162" s="145"/>
      <c r="D162" s="59" t="str">
        <f>+VENTAS!E674</f>
        <v>Retención en la fuente 1%</v>
      </c>
      <c r="E162" s="59" t="str">
        <f>+VENTAS!D674</f>
        <v>2.1.01.06.001</v>
      </c>
      <c r="F162" s="60">
        <f>+VENTAS!L702</f>
        <v>53.954528000000003</v>
      </c>
      <c r="G162" s="60"/>
      <c r="H162" s="148"/>
      <c r="I162" s="150"/>
      <c r="J162" s="151"/>
    </row>
    <row r="163" spans="1:10" x14ac:dyDescent="0.25">
      <c r="A163" s="142"/>
      <c r="B163" s="145"/>
      <c r="C163" s="145"/>
      <c r="D163" s="59" t="s">
        <v>85</v>
      </c>
      <c r="E163" s="59"/>
      <c r="F163" s="60">
        <f>+VENTAS!N701</f>
        <v>677.12932639999997</v>
      </c>
      <c r="G163" s="60"/>
      <c r="H163" s="148"/>
      <c r="I163" s="150"/>
      <c r="J163" s="151"/>
    </row>
    <row r="164" spans="1:10" x14ac:dyDescent="0.25">
      <c r="A164" s="152">
        <v>48</v>
      </c>
      <c r="B164" s="154">
        <f>+B158</f>
        <v>43504</v>
      </c>
      <c r="C164" s="156" t="str">
        <f>+C158</f>
        <v>FACTURA VENTA # 26</v>
      </c>
      <c r="D164" s="61" t="s">
        <v>85</v>
      </c>
      <c r="E164" s="61"/>
      <c r="F164" s="62"/>
      <c r="G164" s="62">
        <f>+F163</f>
        <v>677.12932639999997</v>
      </c>
      <c r="H164" s="158">
        <f>+SUM(G164:G165)</f>
        <v>677.12932639999997</v>
      </c>
      <c r="I164" s="160">
        <f>+SUM(F164:F165)</f>
        <v>677.12932639999997</v>
      </c>
      <c r="J164" s="151"/>
    </row>
    <row r="165" spans="1:10" ht="15.75" thickBot="1" x14ac:dyDescent="0.3">
      <c r="A165" s="153"/>
      <c r="B165" s="155"/>
      <c r="C165" s="157"/>
      <c r="D165" s="69" t="str">
        <f>+VENTAS!C707</f>
        <v>Caja General</v>
      </c>
      <c r="E165" s="65"/>
      <c r="F165" s="66">
        <f>+VENTAS!C708</f>
        <v>677.12932639999997</v>
      </c>
      <c r="G165" s="66"/>
      <c r="H165" s="159"/>
      <c r="I165" s="161"/>
      <c r="J165" s="151"/>
    </row>
    <row r="166" spans="1:10" x14ac:dyDescent="0.25">
      <c r="A166" s="141">
        <v>49</v>
      </c>
      <c r="B166" s="143">
        <f>+VENTAS!C721</f>
        <v>43504</v>
      </c>
      <c r="C166" s="146" t="str">
        <f>+VENTAS!C711</f>
        <v>FACTURA VENTA # 27</v>
      </c>
      <c r="D166" s="63" t="s">
        <v>69</v>
      </c>
      <c r="E166" s="63" t="s">
        <v>46</v>
      </c>
      <c r="F166" s="64"/>
      <c r="G166" s="64">
        <f>+VENTAS!J658+VENTAS!J659+VENTAS!J660+VENTAS!J661</f>
        <v>424.4316</v>
      </c>
      <c r="H166" s="147">
        <f>+SUM(G166:G171)</f>
        <v>755.36339199999998</v>
      </c>
      <c r="I166" s="149">
        <f>+SUM(F166:F171)</f>
        <v>755.36339199999998</v>
      </c>
      <c r="J166" s="151" t="s">
        <v>278</v>
      </c>
    </row>
    <row r="167" spans="1:10" x14ac:dyDescent="0.25">
      <c r="A167" s="142"/>
      <c r="B167" s="144"/>
      <c r="C167" s="145"/>
      <c r="D167" s="59" t="str">
        <f>+VENTAS!P662</f>
        <v>ARRIENDO</v>
      </c>
      <c r="E167" s="59" t="str">
        <f>+VENTAS!Q662</f>
        <v>5.2.01.02.014</v>
      </c>
      <c r="F167" s="60"/>
      <c r="G167" s="60">
        <f>+VENTAS!J662</f>
        <v>250</v>
      </c>
      <c r="H167" s="148"/>
      <c r="I167" s="150"/>
      <c r="J167" s="151"/>
    </row>
    <row r="168" spans="1:10" x14ac:dyDescent="0.25">
      <c r="A168" s="142"/>
      <c r="B168" s="145"/>
      <c r="C168" s="145"/>
      <c r="D168" s="59" t="s">
        <v>194</v>
      </c>
      <c r="E168" s="59" t="s">
        <v>56</v>
      </c>
      <c r="F168" s="60"/>
      <c r="G168" s="60">
        <f>+VENTAS!E667</f>
        <v>80.931792000000002</v>
      </c>
      <c r="H168" s="148"/>
      <c r="I168" s="150"/>
      <c r="J168" s="151"/>
    </row>
    <row r="169" spans="1:10" x14ac:dyDescent="0.25">
      <c r="A169" s="142"/>
      <c r="B169" s="145"/>
      <c r="C169" s="145"/>
      <c r="D169" s="59" t="str">
        <f>+VENTAS!E729</f>
        <v>Retención IVA 50%</v>
      </c>
      <c r="E169" s="59" t="str">
        <f>+VENTAS!D729</f>
        <v>2.1.01.07.004</v>
      </c>
      <c r="F169" s="60">
        <f>+VENTAS!L729</f>
        <v>40.465896000000001</v>
      </c>
      <c r="G169" s="60"/>
      <c r="H169" s="148"/>
      <c r="I169" s="150"/>
      <c r="J169" s="151"/>
    </row>
    <row r="170" spans="1:10" x14ac:dyDescent="0.25">
      <c r="A170" s="142"/>
      <c r="B170" s="145"/>
      <c r="C170" s="145"/>
      <c r="D170" s="59" t="str">
        <f>+VENTAS!E730</f>
        <v>Retención en la fuente 2%</v>
      </c>
      <c r="E170" s="59" t="str">
        <f>+VENTAS!D730</f>
        <v>2.1.01.06.002</v>
      </c>
      <c r="F170" s="60">
        <f>+VENTAS!L730</f>
        <v>13.488632000000001</v>
      </c>
      <c r="G170" s="60"/>
      <c r="H170" s="148"/>
      <c r="I170" s="150"/>
      <c r="J170" s="151"/>
    </row>
    <row r="171" spans="1:10" x14ac:dyDescent="0.25">
      <c r="A171" s="142"/>
      <c r="B171" s="145"/>
      <c r="C171" s="145"/>
      <c r="D171" s="59" t="s">
        <v>85</v>
      </c>
      <c r="E171" s="59"/>
      <c r="F171" s="60">
        <f>+VENTAS!N729</f>
        <v>701.40886399999999</v>
      </c>
      <c r="G171" s="60"/>
      <c r="H171" s="148"/>
      <c r="I171" s="150"/>
      <c r="J171" s="151"/>
    </row>
    <row r="172" spans="1:10" x14ac:dyDescent="0.25">
      <c r="A172" s="152">
        <v>50</v>
      </c>
      <c r="B172" s="154">
        <f>+B166</f>
        <v>43504</v>
      </c>
      <c r="C172" s="156" t="str">
        <f>+C166</f>
        <v>FACTURA VENTA # 27</v>
      </c>
      <c r="D172" s="61" t="s">
        <v>85</v>
      </c>
      <c r="E172" s="61"/>
      <c r="F172" s="62"/>
      <c r="G172" s="62">
        <f>+F171</f>
        <v>701.40886399999999</v>
      </c>
      <c r="H172" s="158">
        <f>+SUM(G172:G173)</f>
        <v>701.40886399999999</v>
      </c>
      <c r="I172" s="160">
        <f>+SUM(F172:F173)</f>
        <v>701.40886399999999</v>
      </c>
      <c r="J172" s="151"/>
    </row>
    <row r="173" spans="1:10" ht="15.75" thickBot="1" x14ac:dyDescent="0.3">
      <c r="A173" s="153"/>
      <c r="B173" s="155"/>
      <c r="C173" s="157"/>
      <c r="D173" s="69" t="str">
        <f>+VENTAS!C735</f>
        <v>Sociedades Financieras</v>
      </c>
      <c r="E173" s="65"/>
      <c r="F173" s="66">
        <f>+VENTAS!C736</f>
        <v>701.40886399999999</v>
      </c>
      <c r="G173" s="66"/>
      <c r="H173" s="159"/>
      <c r="I173" s="161"/>
      <c r="J173" s="151"/>
    </row>
    <row r="174" spans="1:10" x14ac:dyDescent="0.25">
      <c r="A174" s="141">
        <v>51</v>
      </c>
      <c r="B174" s="143">
        <f>+VENTAS!C749</f>
        <v>43505</v>
      </c>
      <c r="C174" s="146" t="str">
        <f>+VENTAS!C739</f>
        <v>FACTURA VENTA # 28</v>
      </c>
      <c r="D174" s="63" t="s">
        <v>69</v>
      </c>
      <c r="E174" s="63" t="s">
        <v>46</v>
      </c>
      <c r="F174" s="64"/>
      <c r="G174" s="64">
        <f>+VENTAS!J742+VENTAS!J743+VENTAS!J744+VENTAS!J745</f>
        <v>1180.8087</v>
      </c>
      <c r="H174" s="147">
        <f>+SUM(G174:G179)</f>
        <v>1748.105744</v>
      </c>
      <c r="I174" s="149">
        <f>+SUM(F174:F179)</f>
        <v>1748.105744</v>
      </c>
      <c r="J174" s="151" t="s">
        <v>278</v>
      </c>
    </row>
    <row r="175" spans="1:10" x14ac:dyDescent="0.25">
      <c r="A175" s="142"/>
      <c r="B175" s="144"/>
      <c r="C175" s="145"/>
      <c r="D175" s="59" t="str">
        <f>+VENTAS!P746</f>
        <v>Mantenimiento edificios</v>
      </c>
      <c r="E175" s="59" t="str">
        <f>+VENTAS!Q746</f>
        <v>5.1.02.07.004</v>
      </c>
      <c r="F175" s="60"/>
      <c r="G175" s="60">
        <f>+VENTAS!J746</f>
        <v>380</v>
      </c>
      <c r="H175" s="148"/>
      <c r="I175" s="150"/>
      <c r="J175" s="151"/>
    </row>
    <row r="176" spans="1:10" x14ac:dyDescent="0.25">
      <c r="A176" s="142"/>
      <c r="B176" s="145"/>
      <c r="C176" s="145"/>
      <c r="D176" s="59" t="s">
        <v>194</v>
      </c>
      <c r="E176" s="59" t="s">
        <v>56</v>
      </c>
      <c r="F176" s="60"/>
      <c r="G176" s="60">
        <f>+VENTAS!E751</f>
        <v>187.297044</v>
      </c>
      <c r="H176" s="148"/>
      <c r="I176" s="150"/>
      <c r="J176" s="151"/>
    </row>
    <row r="177" spans="1:10" x14ac:dyDescent="0.25">
      <c r="A177" s="142"/>
      <c r="B177" s="145"/>
      <c r="C177" s="145"/>
      <c r="D177" s="59" t="str">
        <f>+VENTAS!E757</f>
        <v>Retención IVA 70%</v>
      </c>
      <c r="E177" s="59" t="str">
        <f>+VENTAS!D757</f>
        <v>2.1.01.07.005</v>
      </c>
      <c r="F177" s="60">
        <f>+VENTAS!L757</f>
        <v>131.10793079999999</v>
      </c>
      <c r="G177" s="60"/>
      <c r="H177" s="148"/>
      <c r="I177" s="150"/>
      <c r="J177" s="151"/>
    </row>
    <row r="178" spans="1:10" x14ac:dyDescent="0.25">
      <c r="A178" s="142"/>
      <c r="B178" s="145"/>
      <c r="C178" s="145"/>
      <c r="D178" s="59" t="str">
        <f>+VENTAS!E758</f>
        <v>Retención en la fuente 1%</v>
      </c>
      <c r="E178" s="59" t="str">
        <f>+VENTAS!D758</f>
        <v>2.1.01.06.001</v>
      </c>
      <c r="F178" s="60">
        <f>+VENTAS!L758</f>
        <v>15.608087000000001</v>
      </c>
      <c r="G178" s="60"/>
      <c r="H178" s="148"/>
      <c r="I178" s="150"/>
      <c r="J178" s="151"/>
    </row>
    <row r="179" spans="1:10" x14ac:dyDescent="0.25">
      <c r="A179" s="142"/>
      <c r="B179" s="145"/>
      <c r="C179" s="145"/>
      <c r="D179" s="59" t="s">
        <v>85</v>
      </c>
      <c r="E179" s="59"/>
      <c r="F179" s="60">
        <f>+VENTAS!N757</f>
        <v>1601.3897262</v>
      </c>
      <c r="G179" s="60"/>
      <c r="H179" s="148"/>
      <c r="I179" s="150"/>
      <c r="J179" s="151"/>
    </row>
    <row r="180" spans="1:10" x14ac:dyDescent="0.25">
      <c r="A180" s="152">
        <v>52</v>
      </c>
      <c r="B180" s="154">
        <f>+B174</f>
        <v>43505</v>
      </c>
      <c r="C180" s="156" t="str">
        <f>+C174</f>
        <v>FACTURA VENTA # 28</v>
      </c>
      <c r="D180" s="61" t="s">
        <v>85</v>
      </c>
      <c r="E180" s="61"/>
      <c r="F180" s="62"/>
      <c r="G180" s="62">
        <f>+F179</f>
        <v>1601.3897262</v>
      </c>
      <c r="H180" s="158">
        <f>+SUM(G180:G181)</f>
        <v>1601.3897262</v>
      </c>
      <c r="I180" s="160">
        <f>+SUM(F180:F181)</f>
        <v>1601.3897262</v>
      </c>
      <c r="J180" s="151"/>
    </row>
    <row r="181" spans="1:10" ht="15.75" thickBot="1" x14ac:dyDescent="0.3">
      <c r="A181" s="153"/>
      <c r="B181" s="155"/>
      <c r="C181" s="157"/>
      <c r="D181" s="69" t="str">
        <f>+VENTAS!C763</f>
        <v>Bancos XXX XXXX</v>
      </c>
      <c r="E181" s="65"/>
      <c r="F181" s="66">
        <f>+VENTAS!C764</f>
        <v>1601.3897262</v>
      </c>
      <c r="G181" s="66"/>
      <c r="H181" s="159"/>
      <c r="I181" s="161"/>
      <c r="J181" s="151"/>
    </row>
    <row r="182" spans="1:10" ht="15" customHeight="1" x14ac:dyDescent="0.25">
      <c r="A182" s="141">
        <v>53</v>
      </c>
      <c r="B182" s="143">
        <f>+VENTAS!C777</f>
        <v>43505</v>
      </c>
      <c r="C182" s="146" t="str">
        <f>+VENTAS!C767</f>
        <v>FACTURA VENTA # 29</v>
      </c>
      <c r="D182" s="63" t="s">
        <v>69</v>
      </c>
      <c r="E182" s="63" t="s">
        <v>46</v>
      </c>
      <c r="F182" s="64"/>
      <c r="G182" s="64">
        <f>+VENTAS!J770+VENTAS!J771+VENTAS!J772+VENTAS!J773</f>
        <v>1180.8087</v>
      </c>
      <c r="H182" s="147">
        <f>+SUM(G182:G187)</f>
        <v>1748.105744</v>
      </c>
      <c r="I182" s="149">
        <f>+SUM(F182:F187)</f>
        <v>1748.105744</v>
      </c>
      <c r="J182" s="151" t="s">
        <v>278</v>
      </c>
    </row>
    <row r="183" spans="1:10" x14ac:dyDescent="0.25">
      <c r="A183" s="142"/>
      <c r="B183" s="144"/>
      <c r="C183" s="145"/>
      <c r="D183" s="59" t="str">
        <f>+VENTAS!P746</f>
        <v>Mantenimiento edificios</v>
      </c>
      <c r="E183" s="59" t="str">
        <f>+VENTAS!Q746</f>
        <v>5.1.02.07.004</v>
      </c>
      <c r="F183" s="60"/>
      <c r="G183" s="60">
        <f>+VENTAS!J774</f>
        <v>380</v>
      </c>
      <c r="H183" s="148"/>
      <c r="I183" s="150"/>
      <c r="J183" s="151"/>
    </row>
    <row r="184" spans="1:10" x14ac:dyDescent="0.25">
      <c r="A184" s="142"/>
      <c r="B184" s="145"/>
      <c r="C184" s="145"/>
      <c r="D184" s="59" t="s">
        <v>194</v>
      </c>
      <c r="E184" s="59" t="s">
        <v>56</v>
      </c>
      <c r="F184" s="60"/>
      <c r="G184" s="60">
        <f>+VENTAS!E779</f>
        <v>187.297044</v>
      </c>
      <c r="H184" s="148"/>
      <c r="I184" s="150"/>
      <c r="J184" s="151"/>
    </row>
    <row r="185" spans="1:10" x14ac:dyDescent="0.25">
      <c r="A185" s="142"/>
      <c r="B185" s="145"/>
      <c r="C185" s="145"/>
      <c r="D185" s="59" t="str">
        <f>+VENTAS!E785</f>
        <v>Retención IVA 10%</v>
      </c>
      <c r="E185" s="59" t="str">
        <f>+VENTAS!D785</f>
        <v>2.1.01.07.001</v>
      </c>
      <c r="F185" s="60">
        <f>+VENTAS!L785</f>
        <v>18.729704399999999</v>
      </c>
      <c r="G185" s="60"/>
      <c r="H185" s="148"/>
      <c r="I185" s="150"/>
      <c r="J185" s="151"/>
    </row>
    <row r="186" spans="1:10" x14ac:dyDescent="0.25">
      <c r="A186" s="142"/>
      <c r="B186" s="145"/>
      <c r="C186" s="145"/>
      <c r="D186" s="59" t="str">
        <f>+VENTAS!E786</f>
        <v>Retención en la fuente 8%</v>
      </c>
      <c r="E186" s="59" t="str">
        <f>+VENTAS!D786</f>
        <v>2.1.01.06.003</v>
      </c>
      <c r="F186" s="60">
        <f>+VENTAS!L786</f>
        <v>124.86469600000001</v>
      </c>
      <c r="G186" s="60"/>
      <c r="H186" s="148"/>
      <c r="I186" s="150"/>
      <c r="J186" s="151"/>
    </row>
    <row r="187" spans="1:10" x14ac:dyDescent="0.25">
      <c r="A187" s="142"/>
      <c r="B187" s="145"/>
      <c r="C187" s="145"/>
      <c r="D187" s="59" t="s">
        <v>85</v>
      </c>
      <c r="E187" s="59"/>
      <c r="F187" s="60">
        <f>+VENTAS!N785</f>
        <v>1604.5113435999999</v>
      </c>
      <c r="G187" s="60"/>
      <c r="H187" s="148"/>
      <c r="I187" s="150"/>
      <c r="J187" s="151"/>
    </row>
    <row r="188" spans="1:10" x14ac:dyDescent="0.25">
      <c r="A188" s="152">
        <v>54</v>
      </c>
      <c r="B188" s="154">
        <f>+B182</f>
        <v>43505</v>
      </c>
      <c r="C188" s="156" t="str">
        <f>+C182</f>
        <v>FACTURA VENTA # 29</v>
      </c>
      <c r="D188" s="61" t="s">
        <v>85</v>
      </c>
      <c r="E188" s="61"/>
      <c r="F188" s="62"/>
      <c r="G188" s="62">
        <f>+F187</f>
        <v>1604.5113435999999</v>
      </c>
      <c r="H188" s="158">
        <f>+SUM(G188:G191)</f>
        <v>1604.5113435999999</v>
      </c>
      <c r="I188" s="160">
        <f>+SUM(F188:F191)</f>
        <v>1604.5113435999999</v>
      </c>
      <c r="J188" s="151"/>
    </row>
    <row r="189" spans="1:10" x14ac:dyDescent="0.25">
      <c r="A189" s="152"/>
      <c r="B189" s="154"/>
      <c r="C189" s="156"/>
      <c r="D189" s="70" t="str">
        <f>+VENTAS!C791</f>
        <v>Bancos XXX XXXX</v>
      </c>
      <c r="E189" s="61"/>
      <c r="F189" s="62">
        <f>+VENTAS!C792</f>
        <v>481.35340307999996</v>
      </c>
      <c r="G189" s="62"/>
      <c r="H189" s="158"/>
      <c r="I189" s="160"/>
      <c r="J189" s="151"/>
    </row>
    <row r="190" spans="1:10" x14ac:dyDescent="0.25">
      <c r="A190" s="152"/>
      <c r="B190" s="154"/>
      <c r="C190" s="156"/>
      <c r="D190" s="70" t="str">
        <f>+VENTAS!C793</f>
        <v>Bancos XYZ XYZ</v>
      </c>
      <c r="E190" s="61"/>
      <c r="F190" s="62">
        <f>+VENTAS!C794</f>
        <v>481.35340307999996</v>
      </c>
      <c r="G190" s="62"/>
      <c r="H190" s="158"/>
      <c r="I190" s="160"/>
      <c r="J190" s="151"/>
    </row>
    <row r="191" spans="1:10" ht="15.75" thickBot="1" x14ac:dyDescent="0.3">
      <c r="A191" s="153"/>
      <c r="B191" s="155"/>
      <c r="C191" s="157"/>
      <c r="D191" s="69" t="str">
        <f>+VENTAS!C796</f>
        <v>Caja General</v>
      </c>
      <c r="E191" s="65"/>
      <c r="F191" s="66">
        <f>+VENTAS!C797</f>
        <v>641.80453743999999</v>
      </c>
      <c r="G191" s="66"/>
      <c r="H191" s="159"/>
      <c r="I191" s="161"/>
      <c r="J191" s="151"/>
    </row>
    <row r="192" spans="1:10" ht="15" customHeight="1" x14ac:dyDescent="0.25">
      <c r="A192" s="141">
        <v>55</v>
      </c>
      <c r="B192" s="143">
        <f>+VENTAS!C810</f>
        <v>43505</v>
      </c>
      <c r="C192" s="146" t="str">
        <f>+VENTAS!C800</f>
        <v>FACTURA VENTA # 30</v>
      </c>
      <c r="D192" s="63" t="s">
        <v>69</v>
      </c>
      <c r="E192" s="63" t="s">
        <v>46</v>
      </c>
      <c r="F192" s="64"/>
      <c r="G192" s="64">
        <f>+VENTAS!J803+VENTAS!J804+VENTAS!J805+VENTAS!J806</f>
        <v>1180.8087</v>
      </c>
      <c r="H192" s="147">
        <f>+SUM(G192:G197)</f>
        <v>1748.105744</v>
      </c>
      <c r="I192" s="149">
        <f>+SUM(F192:F197)</f>
        <v>1748.105744</v>
      </c>
      <c r="J192" s="151" t="s">
        <v>278</v>
      </c>
    </row>
    <row r="193" spans="1:11" x14ac:dyDescent="0.25">
      <c r="A193" s="142"/>
      <c r="B193" s="144"/>
      <c r="C193" s="145"/>
      <c r="D193" s="59" t="str">
        <f>+VENTAS!P746</f>
        <v>Mantenimiento edificios</v>
      </c>
      <c r="E193" s="59" t="str">
        <f>+VENTAS!Q746</f>
        <v>5.1.02.07.004</v>
      </c>
      <c r="F193" s="60"/>
      <c r="G193" s="60">
        <f>+VENTAS!J807</f>
        <v>380</v>
      </c>
      <c r="H193" s="148"/>
      <c r="I193" s="150"/>
      <c r="J193" s="151"/>
    </row>
    <row r="194" spans="1:11" x14ac:dyDescent="0.25">
      <c r="A194" s="142"/>
      <c r="B194" s="145"/>
      <c r="C194" s="145"/>
      <c r="D194" s="59" t="s">
        <v>194</v>
      </c>
      <c r="E194" s="59" t="s">
        <v>56</v>
      </c>
      <c r="F194" s="60"/>
      <c r="G194" s="60">
        <f>+VENTAS!E812</f>
        <v>187.297044</v>
      </c>
      <c r="H194" s="148"/>
      <c r="I194" s="150"/>
      <c r="J194" s="151"/>
    </row>
    <row r="195" spans="1:11" x14ac:dyDescent="0.25">
      <c r="A195" s="142"/>
      <c r="B195" s="145"/>
      <c r="C195" s="145"/>
      <c r="D195" s="59" t="str">
        <f>+VENTAS!E818</f>
        <v>Retención IVA 20%</v>
      </c>
      <c r="E195" s="59" t="str">
        <f>+VENTAS!D818</f>
        <v>2.1.01.07.002</v>
      </c>
      <c r="F195" s="60">
        <f>+VENTAS!L818</f>
        <v>37.459408799999999</v>
      </c>
      <c r="G195" s="60"/>
      <c r="H195" s="148"/>
      <c r="I195" s="150"/>
      <c r="J195" s="151"/>
    </row>
    <row r="196" spans="1:11" x14ac:dyDescent="0.25">
      <c r="A196" s="142"/>
      <c r="B196" s="145"/>
      <c r="C196" s="145"/>
      <c r="D196" s="59" t="str">
        <f>+VENTAS!E819</f>
        <v>Retención en la fuente 2%</v>
      </c>
      <c r="E196" s="59" t="str">
        <f>+VENTAS!D819</f>
        <v>2.1.01.06.002</v>
      </c>
      <c r="F196" s="60">
        <f>+VENTAS!L819</f>
        <v>31.216174000000002</v>
      </c>
      <c r="G196" s="60"/>
      <c r="H196" s="148"/>
      <c r="I196" s="150"/>
      <c r="J196" s="151"/>
    </row>
    <row r="197" spans="1:11" x14ac:dyDescent="0.25">
      <c r="A197" s="142"/>
      <c r="B197" s="145"/>
      <c r="C197" s="145"/>
      <c r="D197" s="59" t="s">
        <v>85</v>
      </c>
      <c r="E197" s="59"/>
      <c r="F197" s="60">
        <f>+VENTAS!N818</f>
        <v>1679.4301611999999</v>
      </c>
      <c r="G197" s="60"/>
      <c r="H197" s="148"/>
      <c r="I197" s="150"/>
      <c r="J197" s="151"/>
    </row>
    <row r="198" spans="1:11" x14ac:dyDescent="0.25">
      <c r="A198" s="152">
        <v>56</v>
      </c>
      <c r="B198" s="154">
        <f>+B192</f>
        <v>43505</v>
      </c>
      <c r="C198" s="156" t="str">
        <f>+C192</f>
        <v>FACTURA VENTA # 30</v>
      </c>
      <c r="D198" s="61" t="s">
        <v>85</v>
      </c>
      <c r="E198" s="61"/>
      <c r="F198" s="62"/>
      <c r="G198" s="62">
        <f>+VENTAS!C825</f>
        <v>1007.6580967199999</v>
      </c>
      <c r="H198" s="158">
        <f>+SUM(G198:G199)</f>
        <v>1007.6580967199999</v>
      </c>
      <c r="I198" s="160">
        <f>+SUM(F198:F199)</f>
        <v>1007.6580967199999</v>
      </c>
      <c r="J198" s="151"/>
    </row>
    <row r="199" spans="1:11" ht="15.75" thickBot="1" x14ac:dyDescent="0.3">
      <c r="A199" s="153"/>
      <c r="B199" s="155"/>
      <c r="C199" s="157"/>
      <c r="D199" s="69" t="str">
        <f>+VENTAS!C824</f>
        <v>Bancos XXX XXXX</v>
      </c>
      <c r="E199" s="65"/>
      <c r="F199" s="66">
        <f>+VENTAS!C825</f>
        <v>1007.6580967199999</v>
      </c>
      <c r="G199" s="66"/>
      <c r="H199" s="159"/>
      <c r="I199" s="161"/>
      <c r="J199" s="151"/>
    </row>
    <row r="200" spans="1:11" ht="15" customHeight="1" x14ac:dyDescent="0.25">
      <c r="A200" s="141">
        <v>57</v>
      </c>
      <c r="B200" s="143">
        <f>+VENTAS!C841</f>
        <v>43510</v>
      </c>
      <c r="C200" s="146" t="str">
        <f>+VENTAS!C831</f>
        <v>FACTURA VENTA # 31</v>
      </c>
      <c r="D200" s="63" t="s">
        <v>69</v>
      </c>
      <c r="E200" s="63" t="s">
        <v>46</v>
      </c>
      <c r="F200" s="64"/>
      <c r="G200" s="64">
        <f>+VENTAS!J834+VENTAS!J835+VENTAS!J836+VENTAS!J837</f>
        <v>424.4316</v>
      </c>
      <c r="H200" s="147">
        <f>+SUM(G200:G203)</f>
        <v>755.36339199999998</v>
      </c>
      <c r="I200" s="149">
        <f>+SUM(F200:F203)</f>
        <v>755.36339199999998</v>
      </c>
      <c r="J200" s="151" t="s">
        <v>278</v>
      </c>
      <c r="K200" s="77"/>
    </row>
    <row r="201" spans="1:11" x14ac:dyDescent="0.25">
      <c r="A201" s="142"/>
      <c r="B201" s="144"/>
      <c r="C201" s="145"/>
      <c r="D201" s="59" t="str">
        <f>+VENTAS!P838</f>
        <v>ARRIENDO</v>
      </c>
      <c r="E201" s="59" t="str">
        <f>+VENTAS!Q838</f>
        <v>5.2.01.02.014</v>
      </c>
      <c r="F201" s="60"/>
      <c r="G201" s="60">
        <f>+VENTAS!J838</f>
        <v>250</v>
      </c>
      <c r="H201" s="148"/>
      <c r="I201" s="150"/>
      <c r="J201" s="151"/>
    </row>
    <row r="202" spans="1:11" x14ac:dyDescent="0.25">
      <c r="A202" s="142"/>
      <c r="B202" s="145"/>
      <c r="C202" s="145"/>
      <c r="D202" s="59" t="s">
        <v>194</v>
      </c>
      <c r="E202" s="59" t="s">
        <v>56</v>
      </c>
      <c r="F202" s="60"/>
      <c r="G202" s="60">
        <f>+VENTAS!E843</f>
        <v>80.931792000000002</v>
      </c>
      <c r="H202" s="148"/>
      <c r="I202" s="150"/>
      <c r="J202" s="151"/>
    </row>
    <row r="203" spans="1:11" ht="15.75" thickBot="1" x14ac:dyDescent="0.3">
      <c r="A203" s="162"/>
      <c r="B203" s="163"/>
      <c r="C203" s="163"/>
      <c r="D203" s="67" t="s">
        <v>85</v>
      </c>
      <c r="E203" s="67"/>
      <c r="F203" s="68">
        <f>+VENTAS!E844</f>
        <v>755.36339199999998</v>
      </c>
      <c r="G203" s="68"/>
      <c r="H203" s="164"/>
      <c r="I203" s="165"/>
      <c r="J203" s="151"/>
    </row>
    <row r="204" spans="1:11" x14ac:dyDescent="0.25">
      <c r="A204" s="141">
        <v>58</v>
      </c>
      <c r="B204" s="143">
        <f>+VENTAS!C864</f>
        <v>43510</v>
      </c>
      <c r="C204" s="146" t="str">
        <f>+VENTAS!C854</f>
        <v>FACTURA VENTA # 32</v>
      </c>
      <c r="D204" s="63" t="s">
        <v>69</v>
      </c>
      <c r="E204" s="63" t="s">
        <v>46</v>
      </c>
      <c r="F204" s="64"/>
      <c r="G204" s="64">
        <f>+VENTAS!J834+VENTAS!J835+VENTAS!J836+VENTAS!J837</f>
        <v>424.4316</v>
      </c>
      <c r="H204" s="147">
        <f>+SUM(G204:G207)</f>
        <v>755.36339199999998</v>
      </c>
      <c r="I204" s="149">
        <f>+SUM(F204:F207)</f>
        <v>755.36339199999998</v>
      </c>
      <c r="J204" s="151" t="s">
        <v>278</v>
      </c>
    </row>
    <row r="205" spans="1:11" x14ac:dyDescent="0.25">
      <c r="A205" s="142"/>
      <c r="B205" s="144"/>
      <c r="C205" s="145"/>
      <c r="D205" s="59" t="str">
        <f>+VENTAS!P838</f>
        <v>ARRIENDO</v>
      </c>
      <c r="E205" s="59" t="str">
        <f>+VENTAS!Q838</f>
        <v>5.2.01.02.014</v>
      </c>
      <c r="F205" s="60"/>
      <c r="G205" s="60">
        <f>+VENTAS!J838</f>
        <v>250</v>
      </c>
      <c r="H205" s="148"/>
      <c r="I205" s="150"/>
      <c r="J205" s="151"/>
    </row>
    <row r="206" spans="1:11" x14ac:dyDescent="0.25">
      <c r="A206" s="142"/>
      <c r="B206" s="145"/>
      <c r="C206" s="145"/>
      <c r="D206" s="59" t="s">
        <v>194</v>
      </c>
      <c r="E206" s="59" t="s">
        <v>56</v>
      </c>
      <c r="F206" s="60"/>
      <c r="G206" s="60">
        <f>+VENTAS!E843</f>
        <v>80.931792000000002</v>
      </c>
      <c r="H206" s="148"/>
      <c r="I206" s="150"/>
      <c r="J206" s="151"/>
    </row>
    <row r="207" spans="1:11" x14ac:dyDescent="0.25">
      <c r="A207" s="142"/>
      <c r="B207" s="145"/>
      <c r="C207" s="145"/>
      <c r="D207" s="59" t="s">
        <v>85</v>
      </c>
      <c r="E207" s="59"/>
      <c r="F207" s="60">
        <f>+VENTAS!E844</f>
        <v>755.36339199999998</v>
      </c>
      <c r="G207" s="60"/>
      <c r="H207" s="148"/>
      <c r="I207" s="150"/>
      <c r="J207" s="151"/>
    </row>
    <row r="208" spans="1:11" x14ac:dyDescent="0.25">
      <c r="A208" s="152">
        <v>59</v>
      </c>
      <c r="B208" s="154">
        <f>+B204</f>
        <v>43510</v>
      </c>
      <c r="C208" s="156" t="str">
        <f>+C204</f>
        <v>FACTURA VENTA # 32</v>
      </c>
      <c r="D208" s="61" t="s">
        <v>85</v>
      </c>
      <c r="E208" s="61"/>
      <c r="F208" s="62"/>
      <c r="G208" s="62">
        <f>+F207</f>
        <v>755.36339199999998</v>
      </c>
      <c r="H208" s="158">
        <f>+SUM(G208:G209)</f>
        <v>755.36339199999998</v>
      </c>
      <c r="I208" s="160">
        <f>+SUM(F208:F209)</f>
        <v>755.36339199999998</v>
      </c>
      <c r="J208" s="151"/>
    </row>
    <row r="209" spans="1:10" ht="15.75" thickBot="1" x14ac:dyDescent="0.3">
      <c r="A209" s="153"/>
      <c r="B209" s="155"/>
      <c r="C209" s="157"/>
      <c r="D209" s="69" t="str">
        <f>+VENTAS!C873</f>
        <v>Caja General</v>
      </c>
      <c r="E209" s="65"/>
      <c r="F209" s="66">
        <f>+VENTAS!C874</f>
        <v>755.36339199999998</v>
      </c>
      <c r="G209" s="66"/>
      <c r="H209" s="159"/>
      <c r="I209" s="161"/>
      <c r="J209" s="151"/>
    </row>
    <row r="210" spans="1:10" x14ac:dyDescent="0.25">
      <c r="A210" s="141">
        <v>60</v>
      </c>
      <c r="B210" s="143">
        <f>+VENTAS!C887</f>
        <v>43510</v>
      </c>
      <c r="C210" s="146" t="str">
        <f>+VENTAS!C877</f>
        <v>FACTURA VENTA # 33</v>
      </c>
      <c r="D210" s="63" t="s">
        <v>69</v>
      </c>
      <c r="E210" s="63" t="s">
        <v>46</v>
      </c>
      <c r="F210" s="64"/>
      <c r="G210" s="64">
        <f>+VENTAS!J834+VENTAS!J835+VENTAS!J836+VENTAS!J837</f>
        <v>424.4316</v>
      </c>
      <c r="H210" s="147">
        <f>+SUM(G210:G213)</f>
        <v>755.36339199999998</v>
      </c>
      <c r="I210" s="149">
        <f>+SUM(F210:F213)</f>
        <v>755.36339199999998</v>
      </c>
      <c r="J210" s="151" t="s">
        <v>278</v>
      </c>
    </row>
    <row r="211" spans="1:10" x14ac:dyDescent="0.25">
      <c r="A211" s="142"/>
      <c r="B211" s="144"/>
      <c r="C211" s="145"/>
      <c r="D211" s="59" t="str">
        <f>+VENTAS!P838</f>
        <v>ARRIENDO</v>
      </c>
      <c r="E211" s="59" t="str">
        <f>+VENTAS!Q838</f>
        <v>5.2.01.02.014</v>
      </c>
      <c r="F211" s="60"/>
      <c r="G211" s="60">
        <f>+VENTAS!J838</f>
        <v>250</v>
      </c>
      <c r="H211" s="148"/>
      <c r="I211" s="150"/>
      <c r="J211" s="151"/>
    </row>
    <row r="212" spans="1:10" x14ac:dyDescent="0.25">
      <c r="A212" s="142"/>
      <c r="B212" s="145"/>
      <c r="C212" s="145"/>
      <c r="D212" s="59" t="s">
        <v>194</v>
      </c>
      <c r="E212" s="59" t="s">
        <v>56</v>
      </c>
      <c r="F212" s="60"/>
      <c r="G212" s="60">
        <f>+VENTAS!E843</f>
        <v>80.931792000000002</v>
      </c>
      <c r="H212" s="148"/>
      <c r="I212" s="150"/>
      <c r="J212" s="151"/>
    </row>
    <row r="213" spans="1:10" x14ac:dyDescent="0.25">
      <c r="A213" s="142"/>
      <c r="B213" s="145"/>
      <c r="C213" s="145"/>
      <c r="D213" s="59" t="s">
        <v>85</v>
      </c>
      <c r="E213" s="59"/>
      <c r="F213" s="60">
        <f>+VENTAS!E844</f>
        <v>755.36339199999998</v>
      </c>
      <c r="G213" s="60"/>
      <c r="H213" s="148"/>
      <c r="I213" s="150"/>
      <c r="J213" s="151"/>
    </row>
    <row r="214" spans="1:10" x14ac:dyDescent="0.25">
      <c r="A214" s="152">
        <v>61</v>
      </c>
      <c r="B214" s="154">
        <f>+B210</f>
        <v>43510</v>
      </c>
      <c r="C214" s="156" t="str">
        <f>+C210</f>
        <v>FACTURA VENTA # 33</v>
      </c>
      <c r="D214" s="61" t="s">
        <v>85</v>
      </c>
      <c r="E214" s="61"/>
      <c r="F214" s="62"/>
      <c r="G214" s="62">
        <f>+F213</f>
        <v>755.36339199999998</v>
      </c>
      <c r="H214" s="158">
        <f>+SUM(G214:G215)</f>
        <v>755.36339199999998</v>
      </c>
      <c r="I214" s="160">
        <f>+SUM(F214:F215)</f>
        <v>755.36339199999998</v>
      </c>
      <c r="J214" s="151"/>
    </row>
    <row r="215" spans="1:10" ht="15.75" thickBot="1" x14ac:dyDescent="0.3">
      <c r="A215" s="153"/>
      <c r="B215" s="155"/>
      <c r="C215" s="157"/>
      <c r="D215" s="69" t="str">
        <f>+VENTAS!C896</f>
        <v>Sociedades Financieras</v>
      </c>
      <c r="E215" s="65"/>
      <c r="F215" s="66">
        <f>+VENTAS!C897</f>
        <v>755.36339199999998</v>
      </c>
      <c r="G215" s="66"/>
      <c r="H215" s="159"/>
      <c r="I215" s="161"/>
      <c r="J215" s="151"/>
    </row>
    <row r="216" spans="1:10" x14ac:dyDescent="0.25">
      <c r="A216" s="141">
        <v>62</v>
      </c>
      <c r="B216" s="143">
        <f>+VENTAS!C910</f>
        <v>43510</v>
      </c>
      <c r="C216" s="146" t="str">
        <f>+VENTAS!C900</f>
        <v>FACTURA VENTA # 34</v>
      </c>
      <c r="D216" s="63" t="s">
        <v>69</v>
      </c>
      <c r="E216" s="63" t="s">
        <v>46</v>
      </c>
      <c r="F216" s="64"/>
      <c r="G216" s="64">
        <f>+VENTAS!J903+VENTAS!J904+VENTAS!J905+VENTAS!J906</f>
        <v>1180.8087</v>
      </c>
      <c r="H216" s="147">
        <f>+SUM(G216:G219)</f>
        <v>1748.105744</v>
      </c>
      <c r="I216" s="149">
        <f>+SUM(F216:F219)</f>
        <v>1748.105744</v>
      </c>
      <c r="J216" s="151" t="s">
        <v>278</v>
      </c>
    </row>
    <row r="217" spans="1:10" x14ac:dyDescent="0.25">
      <c r="A217" s="142"/>
      <c r="B217" s="144"/>
      <c r="C217" s="145"/>
      <c r="D217" s="59" t="str">
        <f>+VENTAS!P907</f>
        <v>Mantenimiento edificios</v>
      </c>
      <c r="E217" s="59" t="str">
        <f>+VENTAS!Q907</f>
        <v>5.1.02.07.004</v>
      </c>
      <c r="F217" s="60"/>
      <c r="G217" s="60">
        <f>+VENTAS!J907</f>
        <v>380</v>
      </c>
      <c r="H217" s="148"/>
      <c r="I217" s="150"/>
      <c r="J217" s="151"/>
    </row>
    <row r="218" spans="1:10" x14ac:dyDescent="0.25">
      <c r="A218" s="142"/>
      <c r="B218" s="145"/>
      <c r="C218" s="145"/>
      <c r="D218" s="59" t="s">
        <v>194</v>
      </c>
      <c r="E218" s="59" t="s">
        <v>56</v>
      </c>
      <c r="F218" s="60"/>
      <c r="G218" s="60">
        <f>+VENTAS!E912</f>
        <v>187.297044</v>
      </c>
      <c r="H218" s="148"/>
      <c r="I218" s="150"/>
      <c r="J218" s="151"/>
    </row>
    <row r="219" spans="1:10" x14ac:dyDescent="0.25">
      <c r="A219" s="142"/>
      <c r="B219" s="145"/>
      <c r="C219" s="145"/>
      <c r="D219" s="59" t="s">
        <v>85</v>
      </c>
      <c r="E219" s="59"/>
      <c r="F219" s="60">
        <f>+VENTAS!E913</f>
        <v>1748.105744</v>
      </c>
      <c r="G219" s="60"/>
      <c r="H219" s="148"/>
      <c r="I219" s="150"/>
      <c r="J219" s="151"/>
    </row>
    <row r="220" spans="1:10" x14ac:dyDescent="0.25">
      <c r="A220" s="152">
        <v>63</v>
      </c>
      <c r="B220" s="154">
        <f>+B216</f>
        <v>43510</v>
      </c>
      <c r="C220" s="156" t="str">
        <f>+C216</f>
        <v>FACTURA VENTA # 34</v>
      </c>
      <c r="D220" s="61" t="s">
        <v>85</v>
      </c>
      <c r="E220" s="61"/>
      <c r="F220" s="62"/>
      <c r="G220" s="62">
        <f>+F219</f>
        <v>1748.105744</v>
      </c>
      <c r="H220" s="158">
        <f>+SUM(G220:G221)</f>
        <v>1748.105744</v>
      </c>
      <c r="I220" s="160">
        <f>+SUM(F220:F221)</f>
        <v>1748.105744</v>
      </c>
      <c r="J220" s="151"/>
    </row>
    <row r="221" spans="1:10" ht="15.75" thickBot="1" x14ac:dyDescent="0.3">
      <c r="A221" s="153"/>
      <c r="B221" s="155"/>
      <c r="C221" s="157"/>
      <c r="D221" s="69" t="str">
        <f>+VENTAS!C919</f>
        <v>Bancos XXX XXXX</v>
      </c>
      <c r="E221" s="65"/>
      <c r="F221" s="66">
        <f>+VENTAS!C920</f>
        <v>1748.105744</v>
      </c>
      <c r="G221" s="66"/>
      <c r="H221" s="159"/>
      <c r="I221" s="161"/>
      <c r="J221" s="151"/>
    </row>
    <row r="222" spans="1:10" x14ac:dyDescent="0.25">
      <c r="A222" s="141">
        <v>64</v>
      </c>
      <c r="B222" s="143">
        <f>+VENTAS!C933</f>
        <v>43510</v>
      </c>
      <c r="C222" s="146" t="str">
        <f>+VENTAS!C923</f>
        <v>FACTURA VENTA # 35</v>
      </c>
      <c r="D222" s="63" t="s">
        <v>69</v>
      </c>
      <c r="E222" s="63" t="s">
        <v>46</v>
      </c>
      <c r="F222" s="64"/>
      <c r="G222" s="64">
        <f>+VENTAS!J926+VENTAS!J927+VENTAS!J928+VENTAS!J929</f>
        <v>1180.8087</v>
      </c>
      <c r="H222" s="147">
        <f>+SUM(G222:G225)</f>
        <v>1748.105744</v>
      </c>
      <c r="I222" s="149">
        <f>+SUM(F222:F225)</f>
        <v>1748.105744</v>
      </c>
      <c r="J222" s="151" t="s">
        <v>278</v>
      </c>
    </row>
    <row r="223" spans="1:10" x14ac:dyDescent="0.25">
      <c r="A223" s="142"/>
      <c r="B223" s="144"/>
      <c r="C223" s="145"/>
      <c r="D223" s="59" t="str">
        <f>+VENTAS!P930</f>
        <v>Mantenimiento edificios</v>
      </c>
      <c r="E223" s="59" t="str">
        <f>+VENTAS!Q930</f>
        <v>5.1.02.07.004</v>
      </c>
      <c r="F223" s="60"/>
      <c r="G223" s="60">
        <f>+VENTAS!J930</f>
        <v>380</v>
      </c>
      <c r="H223" s="148"/>
      <c r="I223" s="150"/>
      <c r="J223" s="151"/>
    </row>
    <row r="224" spans="1:10" x14ac:dyDescent="0.25">
      <c r="A224" s="142"/>
      <c r="B224" s="145"/>
      <c r="C224" s="145"/>
      <c r="D224" s="59" t="s">
        <v>194</v>
      </c>
      <c r="E224" s="59" t="s">
        <v>56</v>
      </c>
      <c r="F224" s="60"/>
      <c r="G224" s="60">
        <f>+VENTAS!E935</f>
        <v>187.297044</v>
      </c>
      <c r="H224" s="148"/>
      <c r="I224" s="150"/>
      <c r="J224" s="151"/>
    </row>
    <row r="225" spans="1:10" x14ac:dyDescent="0.25">
      <c r="A225" s="142"/>
      <c r="B225" s="145"/>
      <c r="C225" s="145"/>
      <c r="D225" s="59" t="s">
        <v>85</v>
      </c>
      <c r="E225" s="59"/>
      <c r="F225" s="60">
        <f>+VENTAS!E936</f>
        <v>1748.105744</v>
      </c>
      <c r="G225" s="60"/>
      <c r="H225" s="148"/>
      <c r="I225" s="150"/>
      <c r="J225" s="151"/>
    </row>
    <row r="226" spans="1:10" x14ac:dyDescent="0.25">
      <c r="A226" s="152">
        <v>65</v>
      </c>
      <c r="B226" s="154">
        <f>+B222</f>
        <v>43510</v>
      </c>
      <c r="C226" s="156" t="str">
        <f>+C222</f>
        <v>FACTURA VENTA # 35</v>
      </c>
      <c r="D226" s="61" t="s">
        <v>85</v>
      </c>
      <c r="E226" s="61"/>
      <c r="F226" s="62"/>
      <c r="G226" s="62">
        <f>+F225</f>
        <v>1748.105744</v>
      </c>
      <c r="H226" s="158">
        <f>+SUM(G226:G229)</f>
        <v>1748.105744</v>
      </c>
      <c r="I226" s="160">
        <f>+SUM(F226:F229)</f>
        <v>1748.105744</v>
      </c>
      <c r="J226" s="151"/>
    </row>
    <row r="227" spans="1:10" x14ac:dyDescent="0.25">
      <c r="A227" s="152"/>
      <c r="B227" s="154"/>
      <c r="C227" s="156"/>
      <c r="D227" s="70" t="str">
        <f>+VENTAS!C942</f>
        <v>Bancos XXX XXXX</v>
      </c>
      <c r="E227" s="61"/>
      <c r="F227" s="62">
        <f>+VENTAS!C943</f>
        <v>524.43172319999996</v>
      </c>
      <c r="G227" s="62"/>
      <c r="H227" s="158"/>
      <c r="I227" s="160"/>
      <c r="J227" s="151"/>
    </row>
    <row r="228" spans="1:10" x14ac:dyDescent="0.25">
      <c r="A228" s="152"/>
      <c r="B228" s="154"/>
      <c r="C228" s="156"/>
      <c r="D228" s="70" t="str">
        <f>+VENTAS!C944</f>
        <v>Bancos XYZ XYZ</v>
      </c>
      <c r="E228" s="61"/>
      <c r="F228" s="62">
        <f>+VENTAS!C945</f>
        <v>524.43172319999996</v>
      </c>
      <c r="G228" s="62"/>
      <c r="H228" s="158"/>
      <c r="I228" s="160"/>
      <c r="J228" s="151"/>
    </row>
    <row r="229" spans="1:10" ht="15.75" thickBot="1" x14ac:dyDescent="0.3">
      <c r="A229" s="153"/>
      <c r="B229" s="155"/>
      <c r="C229" s="157"/>
      <c r="D229" s="69" t="str">
        <f>+VENTAS!C947</f>
        <v>Caja General</v>
      </c>
      <c r="E229" s="65"/>
      <c r="F229" s="66">
        <f>+VENTAS!C948</f>
        <v>699.24229760000003</v>
      </c>
      <c r="G229" s="66"/>
      <c r="H229" s="159"/>
      <c r="I229" s="161"/>
      <c r="J229" s="151"/>
    </row>
    <row r="230" spans="1:10" x14ac:dyDescent="0.25">
      <c r="A230" s="141">
        <v>66</v>
      </c>
      <c r="B230" s="143">
        <f>+VENTAS!C961</f>
        <v>43510</v>
      </c>
      <c r="C230" s="146" t="str">
        <f>+VENTAS!C951</f>
        <v>FACTURA VENTA # 36</v>
      </c>
      <c r="D230" s="63" t="s">
        <v>69</v>
      </c>
      <c r="E230" s="63" t="s">
        <v>46</v>
      </c>
      <c r="F230" s="64"/>
      <c r="G230" s="64">
        <f>+VENTAS!J926+VENTAS!J927+VENTAS!J928+VENTAS!J929</f>
        <v>1180.8087</v>
      </c>
      <c r="H230" s="147">
        <f>+SUM(G230:G233)</f>
        <v>1748.105744</v>
      </c>
      <c r="I230" s="149">
        <f>+SUM(F230:F233)</f>
        <v>1748.105744</v>
      </c>
      <c r="J230" s="151" t="s">
        <v>278</v>
      </c>
    </row>
    <row r="231" spans="1:10" x14ac:dyDescent="0.25">
      <c r="A231" s="142"/>
      <c r="B231" s="144"/>
      <c r="C231" s="145"/>
      <c r="D231" s="59" t="str">
        <f>+VENTAS!P930</f>
        <v>Mantenimiento edificios</v>
      </c>
      <c r="E231" s="59" t="str">
        <f>+VENTAS!Q930</f>
        <v>5.1.02.07.004</v>
      </c>
      <c r="F231" s="60"/>
      <c r="G231" s="60">
        <f>+VENTAS!J930</f>
        <v>380</v>
      </c>
      <c r="H231" s="148"/>
      <c r="I231" s="150"/>
      <c r="J231" s="151"/>
    </row>
    <row r="232" spans="1:10" x14ac:dyDescent="0.25">
      <c r="A232" s="142"/>
      <c r="B232" s="145"/>
      <c r="C232" s="145"/>
      <c r="D232" s="59" t="s">
        <v>194</v>
      </c>
      <c r="E232" s="59" t="s">
        <v>56</v>
      </c>
      <c r="F232" s="60"/>
      <c r="G232" s="60">
        <f>+VENTAS!E935</f>
        <v>187.297044</v>
      </c>
      <c r="H232" s="148"/>
      <c r="I232" s="150"/>
      <c r="J232" s="151"/>
    </row>
    <row r="233" spans="1:10" x14ac:dyDescent="0.25">
      <c r="A233" s="142"/>
      <c r="B233" s="145"/>
      <c r="C233" s="145"/>
      <c r="D233" s="59" t="s">
        <v>85</v>
      </c>
      <c r="E233" s="59"/>
      <c r="F233" s="60">
        <f>+VENTAS!E964</f>
        <v>1748.105744</v>
      </c>
      <c r="G233" s="60"/>
      <c r="H233" s="148"/>
      <c r="I233" s="150"/>
      <c r="J233" s="151"/>
    </row>
    <row r="234" spans="1:10" x14ac:dyDescent="0.25">
      <c r="A234" s="152">
        <v>67</v>
      </c>
      <c r="B234" s="154">
        <f>+B230</f>
        <v>43510</v>
      </c>
      <c r="C234" s="156" t="str">
        <f>+C230</f>
        <v>FACTURA VENTA # 36</v>
      </c>
      <c r="D234" s="61" t="s">
        <v>85</v>
      </c>
      <c r="E234" s="61"/>
      <c r="F234" s="62"/>
      <c r="G234" s="62">
        <f>+VENTAS!C971</f>
        <v>1048.8634463999999</v>
      </c>
      <c r="H234" s="158">
        <f>+SUM(G234:G235)</f>
        <v>1048.8634463999999</v>
      </c>
      <c r="I234" s="160">
        <f>+SUM(F234:F235)</f>
        <v>1048.8634463999999</v>
      </c>
      <c r="J234" s="151"/>
    </row>
    <row r="235" spans="1:10" ht="15.75" thickBot="1" x14ac:dyDescent="0.3">
      <c r="A235" s="153"/>
      <c r="B235" s="155"/>
      <c r="C235" s="157"/>
      <c r="D235" s="69" t="str">
        <f>+VENTAS!C970</f>
        <v>Bancos XXX XXXX</v>
      </c>
      <c r="E235" s="65"/>
      <c r="F235" s="66">
        <f>+VENTAS!C971</f>
        <v>1048.8634463999999</v>
      </c>
      <c r="G235" s="66"/>
      <c r="H235" s="159"/>
      <c r="I235" s="161"/>
      <c r="J235" s="151"/>
    </row>
    <row r="236" spans="1:10" x14ac:dyDescent="0.25">
      <c r="A236" s="141">
        <v>68</v>
      </c>
      <c r="B236" s="143">
        <f>+VENTAS!C987</f>
        <v>43511</v>
      </c>
      <c r="C236" s="146" t="str">
        <f>+VENTAS!C977</f>
        <v>FACTURA VENTA # 37</v>
      </c>
      <c r="D236" s="63" t="s">
        <v>69</v>
      </c>
      <c r="E236" s="63" t="s">
        <v>46</v>
      </c>
      <c r="F236" s="64"/>
      <c r="G236" s="64">
        <f>+VENTAS!J980+VENTAS!J981+VENTAS!J982+VENTAS!I983+VENTAS!I984+VENTAS!I985-VENTAS!M980-VENTAS!M981-VENTAS!M982-VENTAS!M983-VENTAS!M984-VENTAS!M985</f>
        <v>4054.1038687599998</v>
      </c>
      <c r="H236" s="147">
        <f>+SUM(G236:G241)</f>
        <v>4383.5803613751996</v>
      </c>
      <c r="I236" s="149">
        <f>+SUM(F236:F241)</f>
        <v>4383.5803613751996</v>
      </c>
      <c r="J236" s="151" t="s">
        <v>278</v>
      </c>
    </row>
    <row r="237" spans="1:10" x14ac:dyDescent="0.25">
      <c r="A237" s="142"/>
      <c r="B237" s="144"/>
      <c r="C237" s="145"/>
      <c r="D237" s="59" t="str">
        <f>+VENTAS!P986</f>
        <v>ARRIENDO</v>
      </c>
      <c r="E237" s="59" t="str">
        <f>+VENTAS!Q986</f>
        <v>5.2.01.02.014</v>
      </c>
      <c r="F237" s="60"/>
      <c r="G237" s="60">
        <f>+VENTAS!J986-VENTAS!M986</f>
        <v>228</v>
      </c>
      <c r="H237" s="148"/>
      <c r="I237" s="150"/>
      <c r="J237" s="151"/>
    </row>
    <row r="238" spans="1:10" x14ac:dyDescent="0.25">
      <c r="A238" s="142"/>
      <c r="B238" s="145"/>
      <c r="C238" s="145"/>
      <c r="D238" s="59" t="s">
        <v>194</v>
      </c>
      <c r="E238" s="59" t="s">
        <v>56</v>
      </c>
      <c r="F238" s="60"/>
      <c r="G238" s="60">
        <f>+VENTAS!E990</f>
        <v>101.4764926152</v>
      </c>
      <c r="H238" s="148"/>
      <c r="I238" s="150"/>
      <c r="J238" s="151"/>
    </row>
    <row r="239" spans="1:10" x14ac:dyDescent="0.25">
      <c r="A239" s="142"/>
      <c r="B239" s="145"/>
      <c r="C239" s="145"/>
      <c r="D239" s="59" t="str">
        <f>+VENTAS!E996</f>
        <v>Retención IVA 100%</v>
      </c>
      <c r="E239" s="59" t="str">
        <f>+VENTAS!D996</f>
        <v>2.1.01.07.006</v>
      </c>
      <c r="F239" s="60">
        <f>+VENTAS!L996</f>
        <v>101.4764926152</v>
      </c>
      <c r="G239" s="60"/>
      <c r="H239" s="148"/>
      <c r="I239" s="150"/>
      <c r="J239" s="151"/>
    </row>
    <row r="240" spans="1:10" x14ac:dyDescent="0.25">
      <c r="A240" s="142"/>
      <c r="B240" s="145"/>
      <c r="C240" s="145"/>
      <c r="D240" s="59" t="str">
        <f>+VENTAS!E997</f>
        <v>Retención en la fuente 1%</v>
      </c>
      <c r="E240" s="59" t="str">
        <f>+VENTAS!D997</f>
        <v>2.1.01.06.001</v>
      </c>
      <c r="F240" s="60">
        <f>+VENTAS!L997</f>
        <v>42.821038687599994</v>
      </c>
      <c r="G240" s="60"/>
      <c r="H240" s="148"/>
      <c r="I240" s="150"/>
      <c r="J240" s="151"/>
    </row>
    <row r="241" spans="1:10" ht="15.75" thickBot="1" x14ac:dyDescent="0.3">
      <c r="A241" s="142"/>
      <c r="B241" s="145"/>
      <c r="C241" s="145"/>
      <c r="D241" s="59" t="s">
        <v>85</v>
      </c>
      <c r="E241" s="59"/>
      <c r="F241" s="60">
        <f>+VENTAS!N996</f>
        <v>4239.2828300723995</v>
      </c>
      <c r="G241" s="60"/>
      <c r="H241" s="148"/>
      <c r="I241" s="150"/>
      <c r="J241" s="151"/>
    </row>
    <row r="242" spans="1:10" x14ac:dyDescent="0.25">
      <c r="A242" s="141">
        <v>69</v>
      </c>
      <c r="B242" s="143">
        <f>+VENTAS!C1016</f>
        <v>43511</v>
      </c>
      <c r="C242" s="146" t="str">
        <f>+VENTAS!C1006</f>
        <v>FACTURA VENTA # 38</v>
      </c>
      <c r="D242" s="63" t="s">
        <v>69</v>
      </c>
      <c r="E242" s="63" t="s">
        <v>46</v>
      </c>
      <c r="F242" s="64"/>
      <c r="G242" s="64">
        <f>+VENTAS!J980+VENTAS!J981+VENTAS!J982+VENTAS!I983+VENTAS!I984+VENTAS!I985-VENTAS!M980-VENTAS!M981-VENTAS!M982-VENTAS!M983-VENTAS!M984-VENTAS!M985</f>
        <v>4054.1038687599998</v>
      </c>
      <c r="H242" s="147">
        <f>+SUM(G242:G247)</f>
        <v>4383.5803613751996</v>
      </c>
      <c r="I242" s="149">
        <f>+SUM(F242:F247)</f>
        <v>4383.5803613751996</v>
      </c>
      <c r="J242" s="151" t="s">
        <v>278</v>
      </c>
    </row>
    <row r="243" spans="1:10" x14ac:dyDescent="0.25">
      <c r="A243" s="142"/>
      <c r="B243" s="144"/>
      <c r="C243" s="145"/>
      <c r="D243" s="59" t="str">
        <f>+VENTAS!P986</f>
        <v>ARRIENDO</v>
      </c>
      <c r="E243" s="59" t="str">
        <f>+VENTAS!Q986</f>
        <v>5.2.01.02.014</v>
      </c>
      <c r="F243" s="60"/>
      <c r="G243" s="60">
        <f>+VENTAS!J986-VENTAS!M986</f>
        <v>228</v>
      </c>
      <c r="H243" s="148"/>
      <c r="I243" s="150"/>
      <c r="J243" s="151"/>
    </row>
    <row r="244" spans="1:10" x14ac:dyDescent="0.25">
      <c r="A244" s="142"/>
      <c r="B244" s="145"/>
      <c r="C244" s="145"/>
      <c r="D244" s="59" t="s">
        <v>194</v>
      </c>
      <c r="E244" s="59" t="s">
        <v>56</v>
      </c>
      <c r="F244" s="60"/>
      <c r="G244" s="60">
        <f>+VENTAS!E990</f>
        <v>101.4764926152</v>
      </c>
      <c r="H244" s="148"/>
      <c r="I244" s="150"/>
      <c r="J244" s="151"/>
    </row>
    <row r="245" spans="1:10" x14ac:dyDescent="0.25">
      <c r="A245" s="142"/>
      <c r="B245" s="145"/>
      <c r="C245" s="145"/>
      <c r="D245" s="59" t="str">
        <f>+VENTAS!E1025</f>
        <v>Retención IVA 100%</v>
      </c>
      <c r="E245" s="59" t="str">
        <f>+VENTAS!D996</f>
        <v>2.1.01.07.006</v>
      </c>
      <c r="F245" s="60">
        <f>+VENTAS!L1025</f>
        <v>101.4764926152</v>
      </c>
      <c r="G245" s="60"/>
      <c r="H245" s="148"/>
      <c r="I245" s="150"/>
      <c r="J245" s="151"/>
    </row>
    <row r="246" spans="1:10" x14ac:dyDescent="0.25">
      <c r="A246" s="142"/>
      <c r="B246" s="145"/>
      <c r="C246" s="145"/>
      <c r="D246" s="59" t="str">
        <f>+VENTAS!E1026</f>
        <v>Retención en la fuente 1%</v>
      </c>
      <c r="E246" s="59" t="str">
        <f>+VENTAS!D997</f>
        <v>2.1.01.06.001</v>
      </c>
      <c r="F246" s="60">
        <f>+VENTAS!L1026</f>
        <v>42.821038687599994</v>
      </c>
      <c r="G246" s="60"/>
      <c r="H246" s="148"/>
      <c r="I246" s="150"/>
      <c r="J246" s="151"/>
    </row>
    <row r="247" spans="1:10" x14ac:dyDescent="0.25">
      <c r="A247" s="142"/>
      <c r="B247" s="145"/>
      <c r="C247" s="145"/>
      <c r="D247" s="59" t="s">
        <v>85</v>
      </c>
      <c r="E247" s="59"/>
      <c r="F247" s="60">
        <f>+VENTAS!N996</f>
        <v>4239.2828300723995</v>
      </c>
      <c r="G247" s="60"/>
      <c r="H247" s="148"/>
      <c r="I247" s="150"/>
      <c r="J247" s="151"/>
    </row>
    <row r="248" spans="1:10" x14ac:dyDescent="0.25">
      <c r="A248" s="152">
        <v>70</v>
      </c>
      <c r="B248" s="154">
        <f>+B242</f>
        <v>43511</v>
      </c>
      <c r="C248" s="156" t="str">
        <f>+C242</f>
        <v>FACTURA VENTA # 38</v>
      </c>
      <c r="D248" s="61" t="s">
        <v>85</v>
      </c>
      <c r="E248" s="61"/>
      <c r="F248" s="62"/>
      <c r="G248" s="62">
        <f>+VENTAS!N1025</f>
        <v>4239.2828300723995</v>
      </c>
      <c r="H248" s="158">
        <f>+SUM(G248:G249)</f>
        <v>4239.2828300723995</v>
      </c>
      <c r="I248" s="160">
        <f>+SUM(F248:F249)</f>
        <v>4239.2828300723995</v>
      </c>
      <c r="J248" s="151"/>
    </row>
    <row r="249" spans="1:10" ht="15.75" thickBot="1" x14ac:dyDescent="0.3">
      <c r="A249" s="153"/>
      <c r="B249" s="155"/>
      <c r="C249" s="157"/>
      <c r="D249" s="69" t="str">
        <f>+VENTAS!C1031</f>
        <v>Caja General</v>
      </c>
      <c r="E249" s="65"/>
      <c r="F249" s="66">
        <f>+VENTAS!C1032</f>
        <v>4239.2828300723995</v>
      </c>
      <c r="G249" s="66"/>
      <c r="H249" s="159"/>
      <c r="I249" s="161"/>
      <c r="J249" s="151"/>
    </row>
    <row r="250" spans="1:10" x14ac:dyDescent="0.25">
      <c r="A250" s="141">
        <v>71</v>
      </c>
      <c r="B250" s="143">
        <f>+VENTAS!C1045</f>
        <v>43511</v>
      </c>
      <c r="C250" s="146" t="str">
        <f>+VENTAS!C1035</f>
        <v>FACTURA VENTA # 39</v>
      </c>
      <c r="D250" s="63" t="s">
        <v>69</v>
      </c>
      <c r="E250" s="63" t="s">
        <v>46</v>
      </c>
      <c r="F250" s="64"/>
      <c r="G250" s="64">
        <f>+VENTAS!J980+VENTAS!J981+VENTAS!J982+VENTAS!I983+VENTAS!I984+VENTAS!I985-VENTAS!M980-VENTAS!M981-VENTAS!M982-VENTAS!M983-VENTAS!M984-VENTAS!M985</f>
        <v>4054.1038687599998</v>
      </c>
      <c r="H250" s="147">
        <f>+SUM(G250:G255)</f>
        <v>4383.5803613751996</v>
      </c>
      <c r="I250" s="149">
        <f>+SUM(F250:F255)</f>
        <v>4383.5803613751996</v>
      </c>
      <c r="J250" s="151" t="s">
        <v>278</v>
      </c>
    </row>
    <row r="251" spans="1:10" x14ac:dyDescent="0.25">
      <c r="A251" s="142"/>
      <c r="B251" s="144"/>
      <c r="C251" s="145"/>
      <c r="D251" s="59" t="str">
        <f>+VENTAS!P986</f>
        <v>ARRIENDO</v>
      </c>
      <c r="E251" s="59" t="str">
        <f>+VENTAS!Q986</f>
        <v>5.2.01.02.014</v>
      </c>
      <c r="F251" s="60"/>
      <c r="G251" s="60">
        <f>+VENTAS!J986-VENTAS!M986</f>
        <v>228</v>
      </c>
      <c r="H251" s="148"/>
      <c r="I251" s="150"/>
      <c r="J251" s="151"/>
    </row>
    <row r="252" spans="1:10" x14ac:dyDescent="0.25">
      <c r="A252" s="142"/>
      <c r="B252" s="145"/>
      <c r="C252" s="145"/>
      <c r="D252" s="59" t="s">
        <v>194</v>
      </c>
      <c r="E252" s="59" t="s">
        <v>56</v>
      </c>
      <c r="F252" s="60"/>
      <c r="G252" s="60">
        <f>+VENTAS!E990</f>
        <v>101.4764926152</v>
      </c>
      <c r="H252" s="148"/>
      <c r="I252" s="150"/>
      <c r="J252" s="151"/>
    </row>
    <row r="253" spans="1:10" x14ac:dyDescent="0.25">
      <c r="A253" s="142"/>
      <c r="B253" s="145"/>
      <c r="C253" s="145"/>
      <c r="D253" s="59" t="str">
        <f>+VENTAS!E1053</f>
        <v>Retención IVA 50%</v>
      </c>
      <c r="E253" s="59" t="str">
        <f>+VENTAS!D1053</f>
        <v>2.1.01.07.004</v>
      </c>
      <c r="F253" s="60">
        <f>+VENTAS!L1053</f>
        <v>50.738246307600001</v>
      </c>
      <c r="G253" s="60"/>
      <c r="H253" s="148"/>
      <c r="I253" s="150"/>
      <c r="J253" s="151"/>
    </row>
    <row r="254" spans="1:10" x14ac:dyDescent="0.25">
      <c r="A254" s="142"/>
      <c r="B254" s="145"/>
      <c r="C254" s="145"/>
      <c r="D254" s="59" t="str">
        <f>+VENTAS!E1054</f>
        <v>Retención en la fuente 2%</v>
      </c>
      <c r="E254" s="59" t="str">
        <f>+VENTAS!D1054</f>
        <v>2.1.01.06.002</v>
      </c>
      <c r="F254" s="60">
        <f>+VENTAS!L1054</f>
        <v>85.642077375199989</v>
      </c>
      <c r="G254" s="60"/>
      <c r="H254" s="148"/>
      <c r="I254" s="150"/>
      <c r="J254" s="151"/>
    </row>
    <row r="255" spans="1:10" x14ac:dyDescent="0.25">
      <c r="A255" s="142"/>
      <c r="B255" s="145"/>
      <c r="C255" s="145"/>
      <c r="D255" s="59" t="s">
        <v>85</v>
      </c>
      <c r="E255" s="59"/>
      <c r="F255" s="60">
        <f>+VENTAS!N1053</f>
        <v>4247.2000376923997</v>
      </c>
      <c r="G255" s="60"/>
      <c r="H255" s="148"/>
      <c r="I255" s="150"/>
      <c r="J255" s="151"/>
    </row>
    <row r="256" spans="1:10" x14ac:dyDescent="0.25">
      <c r="A256" s="152">
        <v>72</v>
      </c>
      <c r="B256" s="154">
        <f>+B250</f>
        <v>43511</v>
      </c>
      <c r="C256" s="156" t="str">
        <f>+C250</f>
        <v>FACTURA VENTA # 39</v>
      </c>
      <c r="D256" s="61" t="s">
        <v>85</v>
      </c>
      <c r="E256" s="61"/>
      <c r="F256" s="62"/>
      <c r="G256" s="62">
        <f>+VENTAS!N1053</f>
        <v>4247.2000376923997</v>
      </c>
      <c r="H256" s="158">
        <f>+SUM(G256:G257)</f>
        <v>4247.2000376923997</v>
      </c>
      <c r="I256" s="160">
        <f>+SUM(F256:F257)</f>
        <v>4247.2000376923997</v>
      </c>
      <c r="J256" s="151"/>
    </row>
    <row r="257" spans="1:10" ht="15.75" thickBot="1" x14ac:dyDescent="0.3">
      <c r="A257" s="153"/>
      <c r="B257" s="155"/>
      <c r="C257" s="157"/>
      <c r="D257" s="69" t="str">
        <f>+VENTAS!C1059</f>
        <v>Sociedades Financieras</v>
      </c>
      <c r="E257" s="65"/>
      <c r="F257" s="66">
        <f>+VENTAS!C1060</f>
        <v>4247.2000376923997</v>
      </c>
      <c r="G257" s="66"/>
      <c r="H257" s="159"/>
      <c r="I257" s="161"/>
      <c r="J257" s="151"/>
    </row>
    <row r="258" spans="1:10" x14ac:dyDescent="0.25">
      <c r="A258" s="141">
        <v>73</v>
      </c>
      <c r="B258" s="143">
        <f>+VENTAS!C1073</f>
        <v>43511</v>
      </c>
      <c r="C258" s="146" t="str">
        <f>+VENTAS!C1063</f>
        <v>FACTURA VENTA # 40</v>
      </c>
      <c r="D258" s="63" t="s">
        <v>69</v>
      </c>
      <c r="E258" s="63" t="s">
        <v>46</v>
      </c>
      <c r="F258" s="64"/>
      <c r="G258" s="64">
        <f>+VENTAS!J1072-VENTAS!M1072</f>
        <v>552.03930000000003</v>
      </c>
      <c r="H258" s="147">
        <f>+SUM(G258:G263)</f>
        <v>931.98641599999996</v>
      </c>
      <c r="I258" s="149">
        <f>+SUM(F258:F263)</f>
        <v>931.98641599999996</v>
      </c>
      <c r="J258" s="151" t="s">
        <v>278</v>
      </c>
    </row>
    <row r="259" spans="1:10" x14ac:dyDescent="0.25">
      <c r="A259" s="142"/>
      <c r="B259" s="144"/>
      <c r="C259" s="145"/>
      <c r="D259" s="59" t="str">
        <f>+VENTAS!P1066</f>
        <v>UTILES Y PAPELERIA</v>
      </c>
      <c r="E259" s="59" t="str">
        <f>+VENTAS!Q1066</f>
        <v>5.2.01.02.011</v>
      </c>
      <c r="F259" s="60"/>
      <c r="G259" s="60">
        <f>+VENTAS!J1066+VENTAS!J1067+VENTAS!J1068+VENTAS!I1069+VENTAS!I1070+VENTAS!I1071-VENTAS!M1066-VENTAS!M1067-VENTAS!M1068-VENTAS!M1069-VENTAS!M1070-VENTAS!M1071</f>
        <v>289.52</v>
      </c>
      <c r="H259" s="148"/>
      <c r="I259" s="150"/>
      <c r="J259" s="151"/>
    </row>
    <row r="260" spans="1:10" x14ac:dyDescent="0.25">
      <c r="A260" s="142"/>
      <c r="B260" s="145"/>
      <c r="C260" s="145"/>
      <c r="D260" s="59" t="s">
        <v>194</v>
      </c>
      <c r="E260" s="59" t="s">
        <v>56</v>
      </c>
      <c r="F260" s="60"/>
      <c r="G260" s="60">
        <f>+VENTAS!E1076</f>
        <v>90.427115999999984</v>
      </c>
      <c r="H260" s="148"/>
      <c r="I260" s="150"/>
      <c r="J260" s="151"/>
    </row>
    <row r="261" spans="1:10" x14ac:dyDescent="0.25">
      <c r="A261" s="142"/>
      <c r="B261" s="145"/>
      <c r="C261" s="145"/>
      <c r="D261" s="59" t="str">
        <f>+VENTAS!E1082</f>
        <v>Retención IVA 70%</v>
      </c>
      <c r="E261" s="59" t="str">
        <f>+VENTAS!D1082</f>
        <v>2.1.01.07.005</v>
      </c>
      <c r="F261" s="60">
        <f>+VENTAS!L1082</f>
        <v>63.298981199999986</v>
      </c>
      <c r="G261" s="60"/>
      <c r="H261" s="148"/>
      <c r="I261" s="150"/>
      <c r="J261" s="151"/>
    </row>
    <row r="262" spans="1:10" x14ac:dyDescent="0.25">
      <c r="A262" s="142"/>
      <c r="B262" s="145"/>
      <c r="C262" s="145"/>
      <c r="D262" s="59" t="str">
        <f>+VENTAS!E1083</f>
        <v>Retención en la fuente 1%</v>
      </c>
      <c r="E262" s="59" t="str">
        <f>+VENTAS!D1083</f>
        <v>2.1.01.06.001</v>
      </c>
      <c r="F262" s="60">
        <f>+VENTAS!L1083</f>
        <v>8.4155930000000012</v>
      </c>
      <c r="G262" s="60"/>
      <c r="H262" s="148"/>
      <c r="I262" s="150"/>
      <c r="J262" s="151"/>
    </row>
    <row r="263" spans="1:10" x14ac:dyDescent="0.25">
      <c r="A263" s="142"/>
      <c r="B263" s="145"/>
      <c r="C263" s="145"/>
      <c r="D263" s="59" t="s">
        <v>85</v>
      </c>
      <c r="E263" s="59"/>
      <c r="F263" s="60">
        <f>+VENTAS!N1082</f>
        <v>860.27184179999995</v>
      </c>
      <c r="G263" s="60"/>
      <c r="H263" s="148"/>
      <c r="I263" s="150"/>
      <c r="J263" s="151"/>
    </row>
    <row r="264" spans="1:10" x14ac:dyDescent="0.25">
      <c r="A264" s="152">
        <v>74</v>
      </c>
      <c r="B264" s="154">
        <f>+B258</f>
        <v>43511</v>
      </c>
      <c r="C264" s="156" t="str">
        <f>+C258</f>
        <v>FACTURA VENTA # 40</v>
      </c>
      <c r="D264" s="61" t="s">
        <v>85</v>
      </c>
      <c r="E264" s="61"/>
      <c r="F264" s="62"/>
      <c r="G264" s="62">
        <f>+VENTAS!N1082</f>
        <v>860.27184179999995</v>
      </c>
      <c r="H264" s="158">
        <f>+SUM(G264:G265)</f>
        <v>860.27184179999995</v>
      </c>
      <c r="I264" s="160">
        <f>+SUM(F264:F265)</f>
        <v>860.27184179999995</v>
      </c>
      <c r="J264" s="151"/>
    </row>
    <row r="265" spans="1:10" ht="15.75" thickBot="1" x14ac:dyDescent="0.3">
      <c r="A265" s="153"/>
      <c r="B265" s="155"/>
      <c r="C265" s="157"/>
      <c r="D265" s="69" t="str">
        <f>+VENTAS!C1088</f>
        <v>Bancos XXX XXXX</v>
      </c>
      <c r="E265" s="65"/>
      <c r="F265" s="66">
        <f>+VENTAS!C1089</f>
        <v>860.27184179999995</v>
      </c>
      <c r="G265" s="66"/>
      <c r="H265" s="159"/>
      <c r="I265" s="161"/>
      <c r="J265" s="151"/>
    </row>
    <row r="266" spans="1:10" x14ac:dyDescent="0.25">
      <c r="A266" s="141">
        <v>75</v>
      </c>
      <c r="B266" s="143">
        <f>+VENTAS!C1102</f>
        <v>43511</v>
      </c>
      <c r="C266" s="146" t="str">
        <f>+VENTAS!C1092</f>
        <v>FACTURA VENTA # 41</v>
      </c>
      <c r="D266" s="63" t="s">
        <v>69</v>
      </c>
      <c r="E266" s="63" t="s">
        <v>46</v>
      </c>
      <c r="F266" s="64"/>
      <c r="G266" s="64">
        <f>+VENTAS!J1072-VENTAS!M1072</f>
        <v>552.03930000000003</v>
      </c>
      <c r="H266" s="147">
        <f>+SUM(G266:G271)</f>
        <v>931.98641599999996</v>
      </c>
      <c r="I266" s="149">
        <f>+SUM(F266:F271)</f>
        <v>931.98641599999996</v>
      </c>
      <c r="J266" s="151" t="s">
        <v>278</v>
      </c>
    </row>
    <row r="267" spans="1:10" x14ac:dyDescent="0.25">
      <c r="A267" s="142"/>
      <c r="B267" s="144"/>
      <c r="C267" s="145"/>
      <c r="D267" s="59" t="str">
        <f>+VENTAS!P1066</f>
        <v>UTILES Y PAPELERIA</v>
      </c>
      <c r="E267" s="59" t="str">
        <f>+VENTAS!Q1066</f>
        <v>5.2.01.02.011</v>
      </c>
      <c r="F267" s="60"/>
      <c r="G267" s="60">
        <f>+VENTAS!J1066+VENTAS!J1067+VENTAS!J1068+VENTAS!I1069+VENTAS!I1070+VENTAS!I1071-VENTAS!M1066-VENTAS!M1067-VENTAS!M1068-VENTAS!M1069-VENTAS!M1070-VENTAS!M1071</f>
        <v>289.52</v>
      </c>
      <c r="H267" s="148"/>
      <c r="I267" s="150"/>
      <c r="J267" s="151"/>
    </row>
    <row r="268" spans="1:10" x14ac:dyDescent="0.25">
      <c r="A268" s="142"/>
      <c r="B268" s="145"/>
      <c r="C268" s="145"/>
      <c r="D268" s="59" t="s">
        <v>194</v>
      </c>
      <c r="E268" s="59" t="s">
        <v>56</v>
      </c>
      <c r="F268" s="60"/>
      <c r="G268" s="60">
        <f>+VENTAS!E1105</f>
        <v>90.427115999999984</v>
      </c>
      <c r="H268" s="148"/>
      <c r="I268" s="150"/>
      <c r="J268" s="151"/>
    </row>
    <row r="269" spans="1:10" x14ac:dyDescent="0.25">
      <c r="A269" s="142"/>
      <c r="B269" s="145"/>
      <c r="C269" s="145"/>
      <c r="D269" s="59" t="str">
        <f>+VENTAS!E1111</f>
        <v>Retención IVA 10%</v>
      </c>
      <c r="E269" s="59" t="str">
        <f>+VENTAS!D1111</f>
        <v>2.1.01.07.001</v>
      </c>
      <c r="F269" s="60">
        <f>+VENTAS!L1111</f>
        <v>9.0427115999999987</v>
      </c>
      <c r="G269" s="60"/>
      <c r="H269" s="148"/>
      <c r="I269" s="150"/>
      <c r="J269" s="151"/>
    </row>
    <row r="270" spans="1:10" x14ac:dyDescent="0.25">
      <c r="A270" s="142"/>
      <c r="B270" s="145"/>
      <c r="C270" s="145"/>
      <c r="D270" s="59" t="str">
        <f>+VENTAS!E1112</f>
        <v>Retención en la fuente 8%</v>
      </c>
      <c r="E270" s="59" t="str">
        <f>+VENTAS!D1112</f>
        <v>2.1.01.06.003</v>
      </c>
      <c r="F270" s="60">
        <f>+VENTAS!L1112</f>
        <v>67.32474400000001</v>
      </c>
      <c r="G270" s="60"/>
      <c r="H270" s="148"/>
      <c r="I270" s="150"/>
      <c r="J270" s="151"/>
    </row>
    <row r="271" spans="1:10" x14ac:dyDescent="0.25">
      <c r="A271" s="142"/>
      <c r="B271" s="145"/>
      <c r="C271" s="145"/>
      <c r="D271" s="59" t="s">
        <v>85</v>
      </c>
      <c r="E271" s="59"/>
      <c r="F271" s="60">
        <f>+VENTAS!N1111</f>
        <v>855.61896039999999</v>
      </c>
      <c r="G271" s="60"/>
      <c r="H271" s="148"/>
      <c r="I271" s="150"/>
      <c r="J271" s="151"/>
    </row>
    <row r="272" spans="1:10" x14ac:dyDescent="0.25">
      <c r="A272" s="152">
        <v>76</v>
      </c>
      <c r="B272" s="154">
        <f>+B266</f>
        <v>43511</v>
      </c>
      <c r="C272" s="156" t="str">
        <f>+C266</f>
        <v>FACTURA VENTA # 41</v>
      </c>
      <c r="D272" s="61" t="s">
        <v>85</v>
      </c>
      <c r="E272" s="61"/>
      <c r="F272" s="62"/>
      <c r="G272" s="62">
        <f>+VENTAS!N1111</f>
        <v>855.61896039999999</v>
      </c>
      <c r="H272" s="158">
        <f>+SUM(G272:G275)</f>
        <v>855.61896039999999</v>
      </c>
      <c r="I272" s="160">
        <f>+SUM(F272:F275)</f>
        <v>855.61896040000011</v>
      </c>
      <c r="J272" s="151"/>
    </row>
    <row r="273" spans="1:10" x14ac:dyDescent="0.25">
      <c r="A273" s="152"/>
      <c r="B273" s="154"/>
      <c r="C273" s="156"/>
      <c r="D273" s="70" t="str">
        <f>+VENTAS!C1117</f>
        <v>Bancos XXX XXXX</v>
      </c>
      <c r="E273" s="61"/>
      <c r="F273" s="62">
        <f>+VENTAS!C1118</f>
        <v>256.68568812000001</v>
      </c>
      <c r="G273" s="62"/>
      <c r="H273" s="158"/>
      <c r="I273" s="160"/>
      <c r="J273" s="151"/>
    </row>
    <row r="274" spans="1:10" x14ac:dyDescent="0.25">
      <c r="A274" s="152"/>
      <c r="B274" s="154"/>
      <c r="C274" s="156"/>
      <c r="D274" s="70" t="str">
        <f>+VENTAS!C1119</f>
        <v>Bancos XYZ XYZ</v>
      </c>
      <c r="E274" s="61"/>
      <c r="F274" s="62">
        <f>+VENTAS!C1120</f>
        <v>256.68568812000001</v>
      </c>
      <c r="G274" s="62"/>
      <c r="H274" s="158"/>
      <c r="I274" s="160"/>
      <c r="J274" s="151"/>
    </row>
    <row r="275" spans="1:10" ht="15.75" thickBot="1" x14ac:dyDescent="0.3">
      <c r="A275" s="153"/>
      <c r="B275" s="155"/>
      <c r="C275" s="157"/>
      <c r="D275" s="69" t="str">
        <f>+VENTAS!C1122</f>
        <v>Caja General</v>
      </c>
      <c r="E275" s="65"/>
      <c r="F275" s="66">
        <f>+VENTAS!C1123</f>
        <v>342.24758416000003</v>
      </c>
      <c r="G275" s="66"/>
      <c r="H275" s="159"/>
      <c r="I275" s="161"/>
      <c r="J275" s="151"/>
    </row>
    <row r="276" spans="1:10" x14ac:dyDescent="0.25">
      <c r="A276" s="141">
        <v>77</v>
      </c>
      <c r="B276" s="143">
        <f>+VENTAS!C1136</f>
        <v>43511</v>
      </c>
      <c r="C276" s="146" t="str">
        <f>+VENTAS!C1126</f>
        <v>FACTURA VENTA # 42</v>
      </c>
      <c r="D276" s="63" t="s">
        <v>69</v>
      </c>
      <c r="E276" s="63" t="s">
        <v>46</v>
      </c>
      <c r="F276" s="64"/>
      <c r="G276" s="64">
        <f>+VENTAS!J1072-VENTAS!M1072</f>
        <v>552.03930000000003</v>
      </c>
      <c r="H276" s="147">
        <f>+SUM(G276:G281)</f>
        <v>931.98641599999996</v>
      </c>
      <c r="I276" s="149">
        <f>+SUM(F276:F281)</f>
        <v>931.98641599999996</v>
      </c>
      <c r="J276" s="151" t="s">
        <v>278</v>
      </c>
    </row>
    <row r="277" spans="1:10" x14ac:dyDescent="0.25">
      <c r="A277" s="142"/>
      <c r="B277" s="144"/>
      <c r="C277" s="145"/>
      <c r="D277" s="59" t="str">
        <f>+VENTAS!P1066</f>
        <v>UTILES Y PAPELERIA</v>
      </c>
      <c r="E277" s="59" t="str">
        <f>+VENTAS!Q1066</f>
        <v>5.2.01.02.011</v>
      </c>
      <c r="F277" s="60"/>
      <c r="G277" s="60">
        <f>+VENTAS!J1066+VENTAS!J1067+VENTAS!J1068+VENTAS!I1069+VENTAS!I1070+VENTAS!I1071-VENTAS!M1066-VENTAS!M1067-VENTAS!M1068-VENTAS!M1069-VENTAS!M1070-VENTAS!M1071</f>
        <v>289.52</v>
      </c>
      <c r="H277" s="148"/>
      <c r="I277" s="150"/>
      <c r="J277" s="151"/>
    </row>
    <row r="278" spans="1:10" x14ac:dyDescent="0.25">
      <c r="A278" s="142"/>
      <c r="B278" s="145"/>
      <c r="C278" s="145"/>
      <c r="D278" s="59" t="s">
        <v>194</v>
      </c>
      <c r="E278" s="59" t="s">
        <v>56</v>
      </c>
      <c r="F278" s="60"/>
      <c r="G278" s="60">
        <f>+VENTAS!E1139</f>
        <v>90.427115999999984</v>
      </c>
      <c r="H278" s="148"/>
      <c r="I278" s="150"/>
      <c r="J278" s="151"/>
    </row>
    <row r="279" spans="1:10" x14ac:dyDescent="0.25">
      <c r="A279" s="142"/>
      <c r="B279" s="145"/>
      <c r="C279" s="145"/>
      <c r="D279" s="59" t="str">
        <f>+VENTAS!E1145</f>
        <v>Retención IVA 20%</v>
      </c>
      <c r="E279" s="59" t="str">
        <f>+VENTAS!D1145</f>
        <v>2.1.01.07.002</v>
      </c>
      <c r="F279" s="60">
        <f>+VENTAS!L1145</f>
        <v>90.427115999999984</v>
      </c>
      <c r="G279" s="60"/>
      <c r="H279" s="148"/>
      <c r="I279" s="150"/>
      <c r="J279" s="151"/>
    </row>
    <row r="280" spans="1:10" x14ac:dyDescent="0.25">
      <c r="A280" s="142"/>
      <c r="B280" s="145"/>
      <c r="C280" s="145"/>
      <c r="D280" s="59" t="str">
        <f>+VENTAS!E1146</f>
        <v>Retención en la fuente 2%</v>
      </c>
      <c r="E280" s="59" t="str">
        <f>+VENTAS!D1146</f>
        <v>2.1.01.06.002</v>
      </c>
      <c r="F280" s="60">
        <f>+VENTAS!L1146</f>
        <v>16.831186000000002</v>
      </c>
      <c r="G280" s="60"/>
      <c r="H280" s="148"/>
      <c r="I280" s="150"/>
      <c r="J280" s="151"/>
    </row>
    <row r="281" spans="1:10" x14ac:dyDescent="0.25">
      <c r="A281" s="142"/>
      <c r="B281" s="145"/>
      <c r="C281" s="145"/>
      <c r="D281" s="59" t="s">
        <v>85</v>
      </c>
      <c r="E281" s="59"/>
      <c r="F281" s="60">
        <f>+VENTAS!N1145</f>
        <v>824.72811400000001</v>
      </c>
      <c r="G281" s="60"/>
      <c r="H281" s="148"/>
      <c r="I281" s="150"/>
      <c r="J281" s="151"/>
    </row>
    <row r="282" spans="1:10" x14ac:dyDescent="0.25">
      <c r="A282" s="152">
        <v>78</v>
      </c>
      <c r="B282" s="154">
        <f>+B276</f>
        <v>43511</v>
      </c>
      <c r="C282" s="156" t="str">
        <f>+C276</f>
        <v>FACTURA VENTA # 42</v>
      </c>
      <c r="D282" s="61" t="s">
        <v>85</v>
      </c>
      <c r="E282" s="61"/>
      <c r="F282" s="62"/>
      <c r="G282" s="62">
        <f>+VENTAS!C1152</f>
        <v>494.83686839999996</v>
      </c>
      <c r="H282" s="158">
        <f>+SUM(G282:G283)</f>
        <v>494.83686839999996</v>
      </c>
      <c r="I282" s="160">
        <f>+SUM(F282:F283)</f>
        <v>494.83686839999996</v>
      </c>
      <c r="J282" s="151"/>
    </row>
    <row r="283" spans="1:10" ht="15.75" thickBot="1" x14ac:dyDescent="0.3">
      <c r="A283" s="153"/>
      <c r="B283" s="155"/>
      <c r="C283" s="157"/>
      <c r="D283" s="69" t="str">
        <f>+VENTAS!C1151</f>
        <v>Bancos XXX XXXX</v>
      </c>
      <c r="E283" s="65"/>
      <c r="F283" s="66">
        <f>+VENTAS!C1152</f>
        <v>494.83686839999996</v>
      </c>
      <c r="G283" s="66"/>
      <c r="H283" s="159"/>
      <c r="I283" s="161"/>
      <c r="J283" s="151"/>
    </row>
  </sheetData>
  <mergeCells count="442">
    <mergeCell ref="I23:I24"/>
    <mergeCell ref="I282:I283"/>
    <mergeCell ref="J9:J17"/>
    <mergeCell ref="A7:A8"/>
    <mergeCell ref="B7:B8"/>
    <mergeCell ref="C7:C8"/>
    <mergeCell ref="H7:H8"/>
    <mergeCell ref="I7:I8"/>
    <mergeCell ref="J2:J8"/>
    <mergeCell ref="A16:A17"/>
    <mergeCell ref="B16:B17"/>
    <mergeCell ref="A276:A281"/>
    <mergeCell ref="B276:B281"/>
    <mergeCell ref="C276:C281"/>
    <mergeCell ref="H276:H281"/>
    <mergeCell ref="I276:I281"/>
    <mergeCell ref="J276:J283"/>
    <mergeCell ref="A282:A283"/>
    <mergeCell ref="B282:B283"/>
    <mergeCell ref="C282:C283"/>
    <mergeCell ref="H282:H283"/>
    <mergeCell ref="J266:J275"/>
    <mergeCell ref="A272:A275"/>
    <mergeCell ref="B272:B275"/>
    <mergeCell ref="C272:C275"/>
    <mergeCell ref="H272:H275"/>
    <mergeCell ref="I272:I275"/>
    <mergeCell ref="I264:I265"/>
    <mergeCell ref="A266:A271"/>
    <mergeCell ref="B266:B271"/>
    <mergeCell ref="C266:C271"/>
    <mergeCell ref="H266:H271"/>
    <mergeCell ref="I266:I271"/>
    <mergeCell ref="A258:A263"/>
    <mergeCell ref="B258:B263"/>
    <mergeCell ref="C258:C263"/>
    <mergeCell ref="H258:H263"/>
    <mergeCell ref="I258:I263"/>
    <mergeCell ref="J258:J265"/>
    <mergeCell ref="A264:A265"/>
    <mergeCell ref="B264:B265"/>
    <mergeCell ref="C264:C265"/>
    <mergeCell ref="H264:H265"/>
    <mergeCell ref="J250:J257"/>
    <mergeCell ref="A256:A257"/>
    <mergeCell ref="B256:B257"/>
    <mergeCell ref="C256:C257"/>
    <mergeCell ref="H256:H257"/>
    <mergeCell ref="I256:I257"/>
    <mergeCell ref="H248:H249"/>
    <mergeCell ref="I248:I249"/>
    <mergeCell ref="A250:A255"/>
    <mergeCell ref="B250:B255"/>
    <mergeCell ref="C250:C255"/>
    <mergeCell ref="H250:H255"/>
    <mergeCell ref="I250:I255"/>
    <mergeCell ref="J236:J241"/>
    <mergeCell ref="A242:A247"/>
    <mergeCell ref="B242:B247"/>
    <mergeCell ref="C242:C247"/>
    <mergeCell ref="H242:H247"/>
    <mergeCell ref="I242:I247"/>
    <mergeCell ref="J242:J249"/>
    <mergeCell ref="A248:A249"/>
    <mergeCell ref="B248:B249"/>
    <mergeCell ref="C248:C249"/>
    <mergeCell ref="I234:I235"/>
    <mergeCell ref="A236:A241"/>
    <mergeCell ref="B236:B241"/>
    <mergeCell ref="C236:C241"/>
    <mergeCell ref="H236:H241"/>
    <mergeCell ref="I236:I241"/>
    <mergeCell ref="A230:A233"/>
    <mergeCell ref="B230:B233"/>
    <mergeCell ref="C230:C233"/>
    <mergeCell ref="H230:H233"/>
    <mergeCell ref="I230:I233"/>
    <mergeCell ref="J230:J235"/>
    <mergeCell ref="A234:A235"/>
    <mergeCell ref="B234:B235"/>
    <mergeCell ref="C234:C235"/>
    <mergeCell ref="H234:H235"/>
    <mergeCell ref="J222:J229"/>
    <mergeCell ref="A226:A229"/>
    <mergeCell ref="B226:B229"/>
    <mergeCell ref="C226:C229"/>
    <mergeCell ref="H226:H229"/>
    <mergeCell ref="I226:I229"/>
    <mergeCell ref="I220:I221"/>
    <mergeCell ref="A222:A225"/>
    <mergeCell ref="B222:B225"/>
    <mergeCell ref="C222:C225"/>
    <mergeCell ref="H222:H225"/>
    <mergeCell ref="I222:I225"/>
    <mergeCell ref="A216:A219"/>
    <mergeCell ref="B216:B219"/>
    <mergeCell ref="C216:C219"/>
    <mergeCell ref="H216:H219"/>
    <mergeCell ref="I216:I219"/>
    <mergeCell ref="J216:J221"/>
    <mergeCell ref="A220:A221"/>
    <mergeCell ref="B220:B221"/>
    <mergeCell ref="C220:C221"/>
    <mergeCell ref="H220:H221"/>
    <mergeCell ref="J210:J215"/>
    <mergeCell ref="A214:A215"/>
    <mergeCell ref="B214:B215"/>
    <mergeCell ref="C214:C215"/>
    <mergeCell ref="H214:H215"/>
    <mergeCell ref="I214:I215"/>
    <mergeCell ref="H208:H209"/>
    <mergeCell ref="I208:I209"/>
    <mergeCell ref="A210:A213"/>
    <mergeCell ref="B210:B213"/>
    <mergeCell ref="C210:C213"/>
    <mergeCell ref="H210:H213"/>
    <mergeCell ref="I210:I213"/>
    <mergeCell ref="J200:J203"/>
    <mergeCell ref="A204:A207"/>
    <mergeCell ref="B204:B207"/>
    <mergeCell ref="C204:C207"/>
    <mergeCell ref="H204:H207"/>
    <mergeCell ref="I204:I207"/>
    <mergeCell ref="J204:J209"/>
    <mergeCell ref="A208:A209"/>
    <mergeCell ref="B208:B209"/>
    <mergeCell ref="C208:C209"/>
    <mergeCell ref="I198:I199"/>
    <mergeCell ref="A200:A203"/>
    <mergeCell ref="B200:B203"/>
    <mergeCell ref="C200:C203"/>
    <mergeCell ref="H200:H203"/>
    <mergeCell ref="I200:I203"/>
    <mergeCell ref="A192:A197"/>
    <mergeCell ref="B192:B197"/>
    <mergeCell ref="C192:C197"/>
    <mergeCell ref="H192:H197"/>
    <mergeCell ref="I192:I197"/>
    <mergeCell ref="J192:J199"/>
    <mergeCell ref="A198:A199"/>
    <mergeCell ref="B198:B199"/>
    <mergeCell ref="C198:C199"/>
    <mergeCell ref="H198:H199"/>
    <mergeCell ref="J182:J191"/>
    <mergeCell ref="A188:A191"/>
    <mergeCell ref="B188:B191"/>
    <mergeCell ref="C188:C191"/>
    <mergeCell ref="H188:H191"/>
    <mergeCell ref="I188:I191"/>
    <mergeCell ref="I180:I181"/>
    <mergeCell ref="A182:A187"/>
    <mergeCell ref="B182:B187"/>
    <mergeCell ref="C182:C187"/>
    <mergeCell ref="H182:H187"/>
    <mergeCell ref="I182:I187"/>
    <mergeCell ref="A174:A179"/>
    <mergeCell ref="B174:B179"/>
    <mergeCell ref="C174:C179"/>
    <mergeCell ref="H174:H179"/>
    <mergeCell ref="I174:I179"/>
    <mergeCell ref="J174:J181"/>
    <mergeCell ref="A180:A181"/>
    <mergeCell ref="B180:B181"/>
    <mergeCell ref="C180:C181"/>
    <mergeCell ref="H180:H181"/>
    <mergeCell ref="J166:J173"/>
    <mergeCell ref="A172:A173"/>
    <mergeCell ref="B172:B173"/>
    <mergeCell ref="C172:C173"/>
    <mergeCell ref="H172:H173"/>
    <mergeCell ref="I172:I173"/>
    <mergeCell ref="H164:H165"/>
    <mergeCell ref="I164:I165"/>
    <mergeCell ref="A166:A171"/>
    <mergeCell ref="B166:B171"/>
    <mergeCell ref="C166:C171"/>
    <mergeCell ref="H166:H171"/>
    <mergeCell ref="I166:I171"/>
    <mergeCell ref="J152:J157"/>
    <mergeCell ref="A158:A163"/>
    <mergeCell ref="B158:B163"/>
    <mergeCell ref="C158:C163"/>
    <mergeCell ref="H158:H163"/>
    <mergeCell ref="I158:I163"/>
    <mergeCell ref="J158:J165"/>
    <mergeCell ref="A164:A165"/>
    <mergeCell ref="B164:B165"/>
    <mergeCell ref="C164:C165"/>
    <mergeCell ref="I150:I151"/>
    <mergeCell ref="A152:A157"/>
    <mergeCell ref="B152:B157"/>
    <mergeCell ref="C152:C157"/>
    <mergeCell ref="H152:H157"/>
    <mergeCell ref="I152:I157"/>
    <mergeCell ref="A147:A149"/>
    <mergeCell ref="B147:B149"/>
    <mergeCell ref="C147:C149"/>
    <mergeCell ref="H147:H149"/>
    <mergeCell ref="I147:I149"/>
    <mergeCell ref="J147:J151"/>
    <mergeCell ref="A150:A151"/>
    <mergeCell ref="B150:B151"/>
    <mergeCell ref="C150:C151"/>
    <mergeCell ref="H150:H151"/>
    <mergeCell ref="J140:J146"/>
    <mergeCell ref="A143:A146"/>
    <mergeCell ref="B143:B146"/>
    <mergeCell ref="C143:C146"/>
    <mergeCell ref="H143:H146"/>
    <mergeCell ref="I143:I146"/>
    <mergeCell ref="I138:I139"/>
    <mergeCell ref="A140:A142"/>
    <mergeCell ref="B140:B142"/>
    <mergeCell ref="C140:C142"/>
    <mergeCell ref="H140:H142"/>
    <mergeCell ref="I140:I142"/>
    <mergeCell ref="A135:A137"/>
    <mergeCell ref="B135:B137"/>
    <mergeCell ref="C135:C137"/>
    <mergeCell ref="H135:H137"/>
    <mergeCell ref="I135:I137"/>
    <mergeCell ref="J135:J139"/>
    <mergeCell ref="A138:A139"/>
    <mergeCell ref="B138:B139"/>
    <mergeCell ref="C138:C139"/>
    <mergeCell ref="H138:H139"/>
    <mergeCell ref="J130:J134"/>
    <mergeCell ref="A133:A134"/>
    <mergeCell ref="B133:B134"/>
    <mergeCell ref="C133:C134"/>
    <mergeCell ref="H133:H134"/>
    <mergeCell ref="I133:I134"/>
    <mergeCell ref="H128:H129"/>
    <mergeCell ref="I128:I129"/>
    <mergeCell ref="A130:A132"/>
    <mergeCell ref="B130:B132"/>
    <mergeCell ref="C130:C132"/>
    <mergeCell ref="H130:H132"/>
    <mergeCell ref="I130:I132"/>
    <mergeCell ref="J122:J124"/>
    <mergeCell ref="A125:A127"/>
    <mergeCell ref="B125:B127"/>
    <mergeCell ref="C125:C127"/>
    <mergeCell ref="H125:H127"/>
    <mergeCell ref="I125:I127"/>
    <mergeCell ref="J125:J129"/>
    <mergeCell ref="A128:A129"/>
    <mergeCell ref="B128:B129"/>
    <mergeCell ref="C128:C129"/>
    <mergeCell ref="I120:I121"/>
    <mergeCell ref="A122:A124"/>
    <mergeCell ref="B122:B124"/>
    <mergeCell ref="C122:C124"/>
    <mergeCell ref="H122:H124"/>
    <mergeCell ref="I122:I124"/>
    <mergeCell ref="A115:A119"/>
    <mergeCell ref="B115:B119"/>
    <mergeCell ref="C115:C119"/>
    <mergeCell ref="H115:H119"/>
    <mergeCell ref="I115:I119"/>
    <mergeCell ref="J115:J121"/>
    <mergeCell ref="A120:A121"/>
    <mergeCell ref="B120:B121"/>
    <mergeCell ref="C120:C121"/>
    <mergeCell ref="H120:H121"/>
    <mergeCell ref="J106:J114"/>
    <mergeCell ref="A111:A114"/>
    <mergeCell ref="B111:B114"/>
    <mergeCell ref="C111:C114"/>
    <mergeCell ref="H111:H114"/>
    <mergeCell ref="I111:I114"/>
    <mergeCell ref="I104:I105"/>
    <mergeCell ref="A106:A110"/>
    <mergeCell ref="B106:B110"/>
    <mergeCell ref="C106:C110"/>
    <mergeCell ref="H106:H110"/>
    <mergeCell ref="I106:I110"/>
    <mergeCell ref="A99:A103"/>
    <mergeCell ref="B99:B103"/>
    <mergeCell ref="C99:C103"/>
    <mergeCell ref="H99:H103"/>
    <mergeCell ref="I99:I103"/>
    <mergeCell ref="J99:J105"/>
    <mergeCell ref="A104:A105"/>
    <mergeCell ref="B104:B105"/>
    <mergeCell ref="C104:C105"/>
    <mergeCell ref="H104:H105"/>
    <mergeCell ref="J92:J98"/>
    <mergeCell ref="A97:A98"/>
    <mergeCell ref="B97:B98"/>
    <mergeCell ref="C97:C98"/>
    <mergeCell ref="H97:H98"/>
    <mergeCell ref="I97:I98"/>
    <mergeCell ref="H90:H91"/>
    <mergeCell ref="I90:I91"/>
    <mergeCell ref="A92:A96"/>
    <mergeCell ref="B92:B96"/>
    <mergeCell ref="C92:C96"/>
    <mergeCell ref="H92:H96"/>
    <mergeCell ref="I92:I96"/>
    <mergeCell ref="J80:J84"/>
    <mergeCell ref="A85:A89"/>
    <mergeCell ref="B85:B89"/>
    <mergeCell ref="C85:C89"/>
    <mergeCell ref="H85:H89"/>
    <mergeCell ref="I85:I89"/>
    <mergeCell ref="J85:J91"/>
    <mergeCell ref="A90:A91"/>
    <mergeCell ref="B90:B91"/>
    <mergeCell ref="C90:C91"/>
    <mergeCell ref="I78:I79"/>
    <mergeCell ref="A80:A84"/>
    <mergeCell ref="B80:B84"/>
    <mergeCell ref="C80:C84"/>
    <mergeCell ref="H80:H84"/>
    <mergeCell ref="I80:I84"/>
    <mergeCell ref="A75:A77"/>
    <mergeCell ref="B75:B77"/>
    <mergeCell ref="C75:C77"/>
    <mergeCell ref="H75:H77"/>
    <mergeCell ref="I75:I77"/>
    <mergeCell ref="J75:J79"/>
    <mergeCell ref="A78:A79"/>
    <mergeCell ref="B78:B79"/>
    <mergeCell ref="C78:C79"/>
    <mergeCell ref="H78:H79"/>
    <mergeCell ref="J68:J74"/>
    <mergeCell ref="A71:A74"/>
    <mergeCell ref="B71:B74"/>
    <mergeCell ref="C71:C74"/>
    <mergeCell ref="H71:H74"/>
    <mergeCell ref="I71:I74"/>
    <mergeCell ref="I66:I67"/>
    <mergeCell ref="A68:A70"/>
    <mergeCell ref="B68:B70"/>
    <mergeCell ref="C68:C70"/>
    <mergeCell ref="H68:H70"/>
    <mergeCell ref="I68:I70"/>
    <mergeCell ref="A63:A65"/>
    <mergeCell ref="B63:B65"/>
    <mergeCell ref="C63:C65"/>
    <mergeCell ref="H63:H65"/>
    <mergeCell ref="I63:I65"/>
    <mergeCell ref="J63:J67"/>
    <mergeCell ref="A66:A67"/>
    <mergeCell ref="B66:B67"/>
    <mergeCell ref="C66:C67"/>
    <mergeCell ref="H66:H67"/>
    <mergeCell ref="J58:J62"/>
    <mergeCell ref="A61:A62"/>
    <mergeCell ref="B61:B62"/>
    <mergeCell ref="C61:C62"/>
    <mergeCell ref="H61:H62"/>
    <mergeCell ref="I61:I62"/>
    <mergeCell ref="H56:H57"/>
    <mergeCell ref="I56:I57"/>
    <mergeCell ref="A58:A60"/>
    <mergeCell ref="B58:B60"/>
    <mergeCell ref="C58:C60"/>
    <mergeCell ref="H58:H60"/>
    <mergeCell ref="I58:I60"/>
    <mergeCell ref="J50:J52"/>
    <mergeCell ref="A53:A55"/>
    <mergeCell ref="B53:B55"/>
    <mergeCell ref="C53:C55"/>
    <mergeCell ref="H53:H55"/>
    <mergeCell ref="I53:I55"/>
    <mergeCell ref="J53:J57"/>
    <mergeCell ref="A56:A57"/>
    <mergeCell ref="B56:B57"/>
    <mergeCell ref="C56:C57"/>
    <mergeCell ref="I48:I49"/>
    <mergeCell ref="A50:A52"/>
    <mergeCell ref="B50:B52"/>
    <mergeCell ref="C50:C52"/>
    <mergeCell ref="H50:H52"/>
    <mergeCell ref="I50:I52"/>
    <mergeCell ref="A43:A47"/>
    <mergeCell ref="B43:B47"/>
    <mergeCell ref="C43:C47"/>
    <mergeCell ref="H43:H47"/>
    <mergeCell ref="I43:I47"/>
    <mergeCell ref="J43:J49"/>
    <mergeCell ref="A48:A49"/>
    <mergeCell ref="B48:B49"/>
    <mergeCell ref="C48:C49"/>
    <mergeCell ref="H48:H49"/>
    <mergeCell ref="J34:J42"/>
    <mergeCell ref="A39:A42"/>
    <mergeCell ref="B39:B42"/>
    <mergeCell ref="C39:C42"/>
    <mergeCell ref="H39:H42"/>
    <mergeCell ref="I39:I42"/>
    <mergeCell ref="I32:I33"/>
    <mergeCell ref="A34:A38"/>
    <mergeCell ref="B34:B38"/>
    <mergeCell ref="C34:C38"/>
    <mergeCell ref="H34:H38"/>
    <mergeCell ref="I34:I38"/>
    <mergeCell ref="A27:A31"/>
    <mergeCell ref="B27:B31"/>
    <mergeCell ref="C27:C31"/>
    <mergeCell ref="H27:H31"/>
    <mergeCell ref="I27:I31"/>
    <mergeCell ref="J27:J33"/>
    <mergeCell ref="A32:A33"/>
    <mergeCell ref="B32:B33"/>
    <mergeCell ref="C32:C33"/>
    <mergeCell ref="H32:H33"/>
    <mergeCell ref="J18:J26"/>
    <mergeCell ref="A25:A26"/>
    <mergeCell ref="B25:B26"/>
    <mergeCell ref="C25:C26"/>
    <mergeCell ref="H25:H26"/>
    <mergeCell ref="I25:I26"/>
    <mergeCell ref="A23:A24"/>
    <mergeCell ref="B23:B24"/>
    <mergeCell ref="C23:C24"/>
    <mergeCell ref="H23:H24"/>
    <mergeCell ref="H14:H15"/>
    <mergeCell ref="I14:I15"/>
    <mergeCell ref="A18:A22"/>
    <mergeCell ref="B18:B22"/>
    <mergeCell ref="C18:C22"/>
    <mergeCell ref="H18:H22"/>
    <mergeCell ref="I18:I22"/>
    <mergeCell ref="C16:C17"/>
    <mergeCell ref="H16:H17"/>
    <mergeCell ref="I16:I17"/>
    <mergeCell ref="A9:A13"/>
    <mergeCell ref="B9:B13"/>
    <mergeCell ref="C9:C13"/>
    <mergeCell ref="H9:H13"/>
    <mergeCell ref="I9:I13"/>
    <mergeCell ref="A14:A15"/>
    <mergeCell ref="B14:B15"/>
    <mergeCell ref="C14:C15"/>
    <mergeCell ref="A2:A6"/>
    <mergeCell ref="B2:B6"/>
    <mergeCell ref="C2:C6"/>
    <mergeCell ref="H2:H6"/>
    <mergeCell ref="I2:I6"/>
  </mergeCells>
  <hyperlinks>
    <hyperlink ref="J2:J6" location="FACTURA_COMPRA___1" display="VOLVER A FACTURA" xr:uid="{08D299AC-C164-4331-8981-2DC500667D16}"/>
    <hyperlink ref="J9:J15" location="FACTURA_COMPRA___2" display="VOLVER A FACTURA" xr:uid="{933D2C68-CC32-40E6-813E-269ECAB83CC2}"/>
    <hyperlink ref="J18:J26" location="FACTURA_COMPRA___3" display="VOLVER A FACTURA" xr:uid="{38768EC4-B9C2-4654-8DCA-48FBACE6D65F}"/>
    <hyperlink ref="J27:J33" location="FACTURA_COMPRA___4" display="VOLVER A FACTURA" xr:uid="{BF2C97B5-59B1-4782-884F-3D7654883DEE}"/>
    <hyperlink ref="J34:J42" location="FACTURA_COMPRA___5" display="VOLVER A FACTURA" xr:uid="{339BFC98-551B-4050-829E-2A68F6875069}"/>
    <hyperlink ref="J43:J49" location="FACTURA_COMPRA___6" display="VOLVER A FACTURA" xr:uid="{F46A8312-2BD4-45FE-AE32-AB853096CE9E}"/>
    <hyperlink ref="J50:J52" location="FACTURA_COMPRA___7" display="VOLVER A FACTURA" xr:uid="{1C682141-35C5-4EAE-9C9E-C28BCC6B3CF2}"/>
    <hyperlink ref="J53:J57" location="FACTURA_COMPRA___8" display="VOLVER A FACTURA" xr:uid="{7A0341D4-F6A7-4070-ACAE-4AB430ED7359}"/>
    <hyperlink ref="J58:J62" location="FACTURA_COMPRA___9" display="VOLVER A FACTURA" xr:uid="{C7CE7C49-ED02-4B08-A5E8-21A8754524C6}"/>
    <hyperlink ref="J63:J67" location="FACTURA_COMPRA___10" display="VOLVER A FACTURA" xr:uid="{191B955A-4706-430E-BBEF-EF7B24B8B662}"/>
    <hyperlink ref="J68:J74" location="FACTURA_COMPRA___11" display="VOLVER A FACTURA" xr:uid="{F889EB00-2F29-451E-81AF-24DAD08B18EC}"/>
    <hyperlink ref="J75:J79" location="FACTURA_COMPRA___12" display="VOLVER A FACTURA" xr:uid="{8A584BA5-F01D-447E-86C2-7C2B7AD42F39}"/>
    <hyperlink ref="J80:J84" location="FACTURA_COMPRA___13" display="VOLVER A FACTURA" xr:uid="{AFD8D288-8941-4256-B1C3-F6C9021EBE20}"/>
    <hyperlink ref="J85:J91" location="FACTURA_COMPRA___14" display="VOLVER A FACTURA" xr:uid="{91E16A29-8CE7-44A6-959A-191105A5AC77}"/>
    <hyperlink ref="J92:J98" location="FACTURA_COMPRA___15" display="VOLVER A FACTURA" xr:uid="{10548B36-37F5-4C60-9244-3A55F381560B}"/>
    <hyperlink ref="J99:J105" location="FACTURA_COMPRA___16" display="VOLVER A FACTURA" xr:uid="{F4CC2A3F-33CC-436B-B838-FCD90791DDB7}"/>
    <hyperlink ref="J106:J114" location="FACTURA_COMPRA___17" display="VOLVER A FACTURA" xr:uid="{DFADF54B-38CE-4782-951F-04BF39815DFB}"/>
    <hyperlink ref="J115:J121" location="FACTURA_COMPRA___18" display="VOLVER A FACTURA" xr:uid="{5992F709-7713-4B63-BCD8-E388839C89D8}"/>
    <hyperlink ref="J122:J124" location="FACTURA_COMPRA___19" display="VOLVER A FACTURA" xr:uid="{6DB70BC8-79D0-4D56-B413-E824ED9CBCAF}"/>
    <hyperlink ref="J125:J129" location="FACTURA_COMPRA___20" display="VOLVER A FACTURA" xr:uid="{F38C698F-CA5C-4768-B9C7-8CD7DE114D04}"/>
    <hyperlink ref="J130:J134" location="FACTURA_COMPRA___21" display="VOLVER A FACTURA" xr:uid="{F10FEDF6-71E6-4DBB-91BB-1DF4D2924335}"/>
    <hyperlink ref="J135:J139" location="FACTURA_COMPRA___22" display="VOLVER A FACTURA" xr:uid="{D6AF3E0C-1675-4408-B95A-F27FDDCBDB08}"/>
    <hyperlink ref="J140:J146" location="FACTURA_COMPRA___23" display="VOLVER A FACTURA" xr:uid="{E0FC87EE-871B-4B0A-B495-141D71A38199}"/>
    <hyperlink ref="J147:J151" location="FACTURA_COMPRA___24" display="VOLVER A FACTURA" xr:uid="{672B833E-F706-49AA-8BC6-3ADCED245A5B}"/>
    <hyperlink ref="J152:J157" location="FACTURA_COMPRA___25" display="VOLVER A FACTURA" xr:uid="{810CF49D-3A59-4BC4-A9B5-827C9DA1E1E6}"/>
    <hyperlink ref="J158:J165" location="FACTURA_COMPRA___26" display="VOLVER A FACTURA" xr:uid="{773F305A-4952-4FD4-9F02-E1B16D6FCDF3}"/>
    <hyperlink ref="J166:J173" location="FACTURA_COMPRA___27" display="VOLVER A FACTURA" xr:uid="{6EEF6B51-9ED9-4136-8D1A-D468F5426020}"/>
    <hyperlink ref="J174:J181" location="FACTURA_COMPRA___28" display="VOLVER A FACTURA" xr:uid="{B2FBD1F3-EA66-433B-A1EB-3982181BF44D}"/>
    <hyperlink ref="J182:J191" location="FACTURA_COMPRA___29" display="VOLVER A FACTURA" xr:uid="{1E445F3A-CF44-40F9-8BB3-18128C3AD439}"/>
    <hyperlink ref="J192:J199" location="FACTURA_COMPRA___30" display="VOLVER A FACTURA" xr:uid="{07D283E0-A69F-4AA9-91EE-22097F738B1C}"/>
    <hyperlink ref="J200:J203" location="FACTURA_COMPRA___31" display="VOLVER A FACTURA" xr:uid="{7C652F6C-DB3B-4A68-9EC9-C03A96DBDB3B}"/>
    <hyperlink ref="J204:J209" location="FACTURA_COMPRA___32" display="VOLVER A FACTURA" xr:uid="{3D436926-86C9-4A6E-8B62-6B442648B5D3}"/>
    <hyperlink ref="J210:J215" location="FACTURA_COMPRA___33" display="VOLVER A FACTURA" xr:uid="{F417F7D8-C088-4C71-8AD7-8E22D60973D5}"/>
    <hyperlink ref="J216:J221" location="FACTURA_COMPRA___34" display="VOLVER A FACTURA" xr:uid="{CBE186B1-1BB8-4977-8F21-054618E49665}"/>
    <hyperlink ref="J222:J229" location="FACTURA_COMPRA___35" display="VOLVER A FACTURA" xr:uid="{E1C982D2-D74C-4F39-A759-B8341E9BA011}"/>
    <hyperlink ref="J230:J235" location="FACTURA_COMPRA___36" display="VOLVER A FACTURA" xr:uid="{43E488C3-C62D-4E7F-B507-63F5DC8AABCD}"/>
    <hyperlink ref="J236:J241" location="FACTURA_COMPRA___37" display="VOLVER A FACTURA" xr:uid="{6E20A032-6ABF-4B05-B072-A8F8FDFF2E64}"/>
    <hyperlink ref="J242:J249" location="FACTURA_COMPRA___38" display="VOLVER A FACTURA" xr:uid="{86DD04DA-71DB-4062-AF0A-E13BA2FFE99C}"/>
    <hyperlink ref="J250:J257" location="FACTURA_COMPRA___39" display="VOLVER A FACTURA" xr:uid="{8D95485C-67E6-442E-88E0-B0D83E6BEEBD}"/>
    <hyperlink ref="J258:J265" location="FACTURA_COMPRA___40" display="VOLVER A FACTURA" xr:uid="{760E15A0-CCEB-464A-936A-FFBAC02D165A}"/>
    <hyperlink ref="J266:J275" location="FACTURA_COMPRA___41" display="VOLVER A FACTURA" xr:uid="{7AE3E58A-3504-4D8B-AB8F-A03C354A9F0C}"/>
    <hyperlink ref="J276:J283" location="FACTURA_COMPRA___42" display="VOLVER A FACTURA" xr:uid="{C00FDD74-121C-485E-ACC3-50F924FB88A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7532-06A5-42B3-A506-E6E6E060177C}">
  <dimension ref="A1:M102"/>
  <sheetViews>
    <sheetView topLeftCell="A76" zoomScale="80" zoomScaleNormal="80" workbookViewId="0">
      <selection activeCell="G111" sqref="G111"/>
    </sheetView>
  </sheetViews>
  <sheetFormatPr baseColWidth="10" defaultRowHeight="15" x14ac:dyDescent="0.25"/>
  <cols>
    <col min="2" max="2" width="34.28515625" bestFit="1" customWidth="1"/>
    <col min="3" max="3" width="49.42578125" bestFit="1" customWidth="1"/>
    <col min="12" max="12" width="13" bestFit="1" customWidth="1"/>
  </cols>
  <sheetData>
    <row r="1" spans="1:13" x14ac:dyDescent="0.25">
      <c r="A1" s="182"/>
      <c r="B1" s="182"/>
      <c r="C1" s="182"/>
      <c r="D1" s="183" t="s">
        <v>325</v>
      </c>
      <c r="E1" s="183"/>
      <c r="F1" s="183"/>
      <c r="G1" s="184" t="s">
        <v>326</v>
      </c>
      <c r="H1" s="184"/>
      <c r="I1" s="184"/>
      <c r="J1" s="185" t="s">
        <v>327</v>
      </c>
      <c r="K1" s="185"/>
      <c r="L1" s="185"/>
    </row>
    <row r="2" spans="1:13" x14ac:dyDescent="0.25">
      <c r="A2" s="102" t="s">
        <v>184</v>
      </c>
      <c r="B2" s="103" t="s">
        <v>185</v>
      </c>
      <c r="C2" s="102" t="s">
        <v>186</v>
      </c>
      <c r="D2" s="104" t="s">
        <v>8</v>
      </c>
      <c r="E2" s="104" t="s">
        <v>328</v>
      </c>
      <c r="F2" s="104" t="s">
        <v>15</v>
      </c>
      <c r="G2" s="104" t="s">
        <v>8</v>
      </c>
      <c r="H2" s="104" t="s">
        <v>328</v>
      </c>
      <c r="I2" s="104" t="s">
        <v>15</v>
      </c>
      <c r="J2" s="104" t="s">
        <v>8</v>
      </c>
      <c r="K2" s="104" t="s">
        <v>328</v>
      </c>
      <c r="L2" s="104" t="s">
        <v>15</v>
      </c>
    </row>
    <row r="3" spans="1:13" x14ac:dyDescent="0.25">
      <c r="A3" s="178">
        <f>+[1]COMPRAS!B153</f>
        <v>43504</v>
      </c>
      <c r="B3" s="180" t="str">
        <f>+CONCATENATE(COMPRAS!C6," ",COMPRAS!C26)</f>
        <v>FACTURA COMPRA # 1 001-001-100</v>
      </c>
      <c r="C3" s="107" t="str">
        <f>+COMPRAS!G9</f>
        <v>ACEITE DE VASELINA GL.QF</v>
      </c>
      <c r="D3" s="107">
        <f>+COMPRAS!D9</f>
        <v>61</v>
      </c>
      <c r="E3" s="108">
        <f>+COMPRAS!H9</f>
        <v>1.45</v>
      </c>
      <c r="F3" s="108">
        <f t="shared" ref="F3:F38" si="0">+D3*E3</f>
        <v>88.45</v>
      </c>
      <c r="G3" s="107"/>
      <c r="H3" s="107"/>
      <c r="I3" s="107"/>
      <c r="J3" s="107">
        <f>+D3</f>
        <v>61</v>
      </c>
      <c r="K3" s="108">
        <f t="shared" ref="K3:L6" si="1">+E3</f>
        <v>1.45</v>
      </c>
      <c r="L3" s="108">
        <f t="shared" si="1"/>
        <v>88.45</v>
      </c>
      <c r="M3" s="177" t="s">
        <v>329</v>
      </c>
    </row>
    <row r="4" spans="1:13" x14ac:dyDescent="0.25">
      <c r="A4" s="179"/>
      <c r="B4" s="181"/>
      <c r="C4" s="107" t="str">
        <f>+COMPRAS!G10</f>
        <v>Bastidor</v>
      </c>
      <c r="D4" s="107">
        <f>+COMPRAS!D10</f>
        <v>56.21</v>
      </c>
      <c r="E4" s="108">
        <f>+COMPRAS!H10</f>
        <v>2.96</v>
      </c>
      <c r="F4" s="108">
        <f t="shared" si="0"/>
        <v>166.38159999999999</v>
      </c>
      <c r="G4" s="107"/>
      <c r="H4" s="107"/>
      <c r="I4" s="107"/>
      <c r="J4" s="107">
        <f>+D4</f>
        <v>56.21</v>
      </c>
      <c r="K4" s="108">
        <f t="shared" si="1"/>
        <v>2.96</v>
      </c>
      <c r="L4" s="108">
        <f t="shared" si="1"/>
        <v>166.38159999999999</v>
      </c>
      <c r="M4" s="177"/>
    </row>
    <row r="5" spans="1:13" x14ac:dyDescent="0.25">
      <c r="A5" s="179"/>
      <c r="B5" s="181"/>
      <c r="C5" s="107" t="str">
        <f>+COMPRAS!G11</f>
        <v>Tira  Color Dorado Con Filos Negros De 7.5 Ancho</v>
      </c>
      <c r="D5" s="107">
        <f>+COMPRAS!D11</f>
        <v>49</v>
      </c>
      <c r="E5" s="108">
        <f>+COMPRAS!H11</f>
        <v>3.15</v>
      </c>
      <c r="F5" s="108">
        <f t="shared" si="0"/>
        <v>154.35</v>
      </c>
      <c r="G5" s="107"/>
      <c r="H5" s="107"/>
      <c r="I5" s="107"/>
      <c r="J5" s="107">
        <f>+D5</f>
        <v>49</v>
      </c>
      <c r="K5" s="108">
        <f t="shared" si="1"/>
        <v>3.15</v>
      </c>
      <c r="L5" s="108">
        <f t="shared" si="1"/>
        <v>154.35</v>
      </c>
      <c r="M5" s="177"/>
    </row>
    <row r="6" spans="1:13" x14ac:dyDescent="0.25">
      <c r="A6" s="179"/>
      <c r="B6" s="181"/>
      <c r="C6" s="107" t="str">
        <f>+COMPRAS!G12</f>
        <v>Blanca Estucada Semimate</v>
      </c>
      <c r="D6" s="107">
        <f>+COMPRAS!D12</f>
        <v>12.2</v>
      </c>
      <c r="E6" s="108">
        <f>+COMPRAS!H12</f>
        <v>1.25</v>
      </c>
      <c r="F6" s="108">
        <f t="shared" si="0"/>
        <v>15.25</v>
      </c>
      <c r="G6" s="107"/>
      <c r="H6" s="107"/>
      <c r="I6" s="107"/>
      <c r="J6" s="107">
        <f>+D6</f>
        <v>12.2</v>
      </c>
      <c r="K6" s="108">
        <f t="shared" si="1"/>
        <v>1.25</v>
      </c>
      <c r="L6" s="108">
        <f t="shared" si="1"/>
        <v>15.25</v>
      </c>
      <c r="M6" s="177"/>
    </row>
    <row r="7" spans="1:13" x14ac:dyDescent="0.25">
      <c r="A7" s="173">
        <f>+COMPRAS!C44</f>
        <v>43497</v>
      </c>
      <c r="B7" s="175" t="str">
        <f>+CONCATENATE(COMPRAS!C34," ",COMPRAS!C54)</f>
        <v>FACTURA COMPRA # 2 001-001-101</v>
      </c>
      <c r="C7" s="105" t="str">
        <f>+COMPRAS!G37</f>
        <v>ACEITE DE VASELINA GL.QF</v>
      </c>
      <c r="D7" s="105">
        <f>+COMPRAS!D37</f>
        <v>61</v>
      </c>
      <c r="E7" s="106">
        <f>+COMPRAS!H37</f>
        <v>1.45</v>
      </c>
      <c r="F7" s="106">
        <f t="shared" si="0"/>
        <v>88.45</v>
      </c>
      <c r="G7" s="105"/>
      <c r="H7" s="105"/>
      <c r="I7" s="105"/>
      <c r="J7" s="105">
        <f t="shared" ref="J7:J14" si="2">+J3+D7</f>
        <v>122</v>
      </c>
      <c r="K7" s="106">
        <f t="shared" ref="K7:K14" si="3">+L7/J7</f>
        <v>1.45</v>
      </c>
      <c r="L7" s="106">
        <f t="shared" ref="L7:L14" si="4">+L3+F7</f>
        <v>176.9</v>
      </c>
      <c r="M7" s="177" t="s">
        <v>329</v>
      </c>
    </row>
    <row r="8" spans="1:13" x14ac:dyDescent="0.25">
      <c r="A8" s="174"/>
      <c r="B8" s="176"/>
      <c r="C8" s="105" t="str">
        <f>+COMPRAS!G38</f>
        <v>Bastidor</v>
      </c>
      <c r="D8" s="105">
        <f>+COMPRAS!D38</f>
        <v>56.21</v>
      </c>
      <c r="E8" s="106">
        <f>+COMPRAS!H38</f>
        <v>2.96</v>
      </c>
      <c r="F8" s="106">
        <f t="shared" si="0"/>
        <v>166.38159999999999</v>
      </c>
      <c r="G8" s="105"/>
      <c r="H8" s="105"/>
      <c r="I8" s="105"/>
      <c r="J8" s="105">
        <f t="shared" si="2"/>
        <v>112.42</v>
      </c>
      <c r="K8" s="106">
        <f t="shared" si="3"/>
        <v>2.96</v>
      </c>
      <c r="L8" s="106">
        <f t="shared" si="4"/>
        <v>332.76319999999998</v>
      </c>
      <c r="M8" s="177"/>
    </row>
    <row r="9" spans="1:13" x14ac:dyDescent="0.25">
      <c r="A9" s="174"/>
      <c r="B9" s="176"/>
      <c r="C9" s="105" t="str">
        <f>+COMPRAS!G39</f>
        <v>Tira  Color Dorado Con Filos Negros De 7.5 Ancho</v>
      </c>
      <c r="D9" s="105">
        <f>+COMPRAS!D39</f>
        <v>49</v>
      </c>
      <c r="E9" s="106">
        <f>+COMPRAS!H39</f>
        <v>3.15</v>
      </c>
      <c r="F9" s="106">
        <f t="shared" si="0"/>
        <v>154.35</v>
      </c>
      <c r="G9" s="105"/>
      <c r="H9" s="105"/>
      <c r="I9" s="105"/>
      <c r="J9" s="105">
        <f t="shared" si="2"/>
        <v>98</v>
      </c>
      <c r="K9" s="106">
        <f t="shared" si="3"/>
        <v>3.15</v>
      </c>
      <c r="L9" s="106">
        <f t="shared" si="4"/>
        <v>308.7</v>
      </c>
      <c r="M9" s="177"/>
    </row>
    <row r="10" spans="1:13" x14ac:dyDescent="0.25">
      <c r="A10" s="174"/>
      <c r="B10" s="176"/>
      <c r="C10" s="105" t="str">
        <f>+COMPRAS!G40</f>
        <v>Blanca Estucada Semimate</v>
      </c>
      <c r="D10" s="105">
        <f>+COMPRAS!D40</f>
        <v>12.2</v>
      </c>
      <c r="E10" s="106">
        <f>+COMPRAS!H40</f>
        <v>1.25</v>
      </c>
      <c r="F10" s="106">
        <f t="shared" si="0"/>
        <v>15.25</v>
      </c>
      <c r="G10" s="105"/>
      <c r="H10" s="105"/>
      <c r="I10" s="105"/>
      <c r="J10" s="105">
        <f t="shared" si="2"/>
        <v>24.4</v>
      </c>
      <c r="K10" s="106">
        <f t="shared" si="3"/>
        <v>1.25</v>
      </c>
      <c r="L10" s="106">
        <f t="shared" si="4"/>
        <v>30.5</v>
      </c>
      <c r="M10" s="177"/>
    </row>
    <row r="11" spans="1:13" x14ac:dyDescent="0.25">
      <c r="A11" s="178">
        <f>+COMPRAS!C72</f>
        <v>43497</v>
      </c>
      <c r="B11" s="180" t="str">
        <f>+CONCATENATE(COMPRAS!C62," ",COMPRAS!C82)</f>
        <v>FACTURA COMPRA # 3 001-001-102</v>
      </c>
      <c r="C11" s="107" t="str">
        <f>+COMPRAS!G65</f>
        <v>ACEITE DE VASELINA GL.QF</v>
      </c>
      <c r="D11" s="107">
        <f>+COMPRAS!D65</f>
        <v>61</v>
      </c>
      <c r="E11" s="108">
        <f>+COMPRAS!H65</f>
        <v>1.45</v>
      </c>
      <c r="F11" s="108">
        <f t="shared" si="0"/>
        <v>88.45</v>
      </c>
      <c r="G11" s="107"/>
      <c r="H11" s="107"/>
      <c r="I11" s="107"/>
      <c r="J11" s="107">
        <f t="shared" si="2"/>
        <v>183</v>
      </c>
      <c r="K11" s="108">
        <f t="shared" si="3"/>
        <v>1.4500000000000002</v>
      </c>
      <c r="L11" s="108">
        <f t="shared" si="4"/>
        <v>265.35000000000002</v>
      </c>
      <c r="M11" s="177" t="s">
        <v>329</v>
      </c>
    </row>
    <row r="12" spans="1:13" x14ac:dyDescent="0.25">
      <c r="A12" s="179"/>
      <c r="B12" s="181"/>
      <c r="C12" s="107" t="str">
        <f>+COMPRAS!G66</f>
        <v>Bastidor</v>
      </c>
      <c r="D12" s="107">
        <f>+COMPRAS!D66</f>
        <v>56.21</v>
      </c>
      <c r="E12" s="108">
        <f>+COMPRAS!H66</f>
        <v>2.96</v>
      </c>
      <c r="F12" s="108">
        <f t="shared" si="0"/>
        <v>166.38159999999999</v>
      </c>
      <c r="G12" s="107"/>
      <c r="H12" s="107"/>
      <c r="I12" s="107"/>
      <c r="J12" s="107">
        <f t="shared" si="2"/>
        <v>168.63</v>
      </c>
      <c r="K12" s="108">
        <f t="shared" si="3"/>
        <v>2.96</v>
      </c>
      <c r="L12" s="108">
        <f t="shared" si="4"/>
        <v>499.14479999999998</v>
      </c>
      <c r="M12" s="177"/>
    </row>
    <row r="13" spans="1:13" x14ac:dyDescent="0.25">
      <c r="A13" s="179"/>
      <c r="B13" s="181"/>
      <c r="C13" s="107" t="str">
        <f>+COMPRAS!G67</f>
        <v>Tira  Color Dorado Con Filos Negros De 7.5 Ancho</v>
      </c>
      <c r="D13" s="107">
        <f>+COMPRAS!D67</f>
        <v>49</v>
      </c>
      <c r="E13" s="108">
        <f>+COMPRAS!H67</f>
        <v>3.15</v>
      </c>
      <c r="F13" s="108">
        <f t="shared" si="0"/>
        <v>154.35</v>
      </c>
      <c r="G13" s="107"/>
      <c r="H13" s="107"/>
      <c r="I13" s="107"/>
      <c r="J13" s="107">
        <f t="shared" si="2"/>
        <v>147</v>
      </c>
      <c r="K13" s="108">
        <f t="shared" si="3"/>
        <v>3.15</v>
      </c>
      <c r="L13" s="108">
        <f t="shared" si="4"/>
        <v>463.04999999999995</v>
      </c>
      <c r="M13" s="177"/>
    </row>
    <row r="14" spans="1:13" x14ac:dyDescent="0.25">
      <c r="A14" s="179"/>
      <c r="B14" s="181"/>
      <c r="C14" s="107" t="str">
        <f>+COMPRAS!G68</f>
        <v>Blanca Estucada Semimate</v>
      </c>
      <c r="D14" s="107">
        <f>+COMPRAS!D68</f>
        <v>12.2</v>
      </c>
      <c r="E14" s="108">
        <f>+COMPRAS!H68</f>
        <v>1.25</v>
      </c>
      <c r="F14" s="108">
        <f t="shared" si="0"/>
        <v>15.25</v>
      </c>
      <c r="G14" s="107"/>
      <c r="H14" s="107"/>
      <c r="I14" s="107"/>
      <c r="J14" s="107">
        <f t="shared" si="2"/>
        <v>36.599999999999994</v>
      </c>
      <c r="K14" s="108">
        <f t="shared" si="3"/>
        <v>1.2500000000000002</v>
      </c>
      <c r="L14" s="108">
        <f t="shared" si="4"/>
        <v>45.75</v>
      </c>
      <c r="M14" s="177"/>
    </row>
    <row r="15" spans="1:13" x14ac:dyDescent="0.25">
      <c r="A15" s="173">
        <f>+COMPRAS!C100</f>
        <v>43498</v>
      </c>
      <c r="B15" s="175" t="str">
        <f>+CONCATENATE(COMPRAS!C90," ",COMPRAS!C110)</f>
        <v>FACTURA COMPRA # 4 001-001-103</v>
      </c>
      <c r="C15" s="105" t="str">
        <f>+COMPRAS!G93</f>
        <v>Azúl Con Dorado</v>
      </c>
      <c r="D15" s="105">
        <f>+COMPRAS!D93</f>
        <v>118.47</v>
      </c>
      <c r="E15" s="106">
        <f>+COMPRAS!H93</f>
        <v>1.47</v>
      </c>
      <c r="F15" s="106">
        <f t="shared" si="0"/>
        <v>174.15090000000001</v>
      </c>
      <c r="G15" s="105"/>
      <c r="H15" s="105"/>
      <c r="I15" s="105"/>
      <c r="J15" s="105">
        <f t="shared" ref="J15:L18" si="5">+D15</f>
        <v>118.47</v>
      </c>
      <c r="K15" s="106">
        <f t="shared" si="5"/>
        <v>1.47</v>
      </c>
      <c r="L15" s="106">
        <f t="shared" si="5"/>
        <v>174.15090000000001</v>
      </c>
      <c r="M15" s="177" t="s">
        <v>329</v>
      </c>
    </row>
    <row r="16" spans="1:13" x14ac:dyDescent="0.25">
      <c r="A16" s="174"/>
      <c r="B16" s="176"/>
      <c r="C16" s="105" t="str">
        <f>+COMPRAS!G94</f>
        <v>pino natural procesado con ceja izq</v>
      </c>
      <c r="D16" s="105">
        <f>+COMPRAS!D94</f>
        <v>249.58</v>
      </c>
      <c r="E16" s="106">
        <f>+COMPRAS!H94</f>
        <v>2.96</v>
      </c>
      <c r="F16" s="106">
        <f t="shared" si="0"/>
        <v>738.7568</v>
      </c>
      <c r="G16" s="105"/>
      <c r="H16" s="105"/>
      <c r="I16" s="105"/>
      <c r="J16" s="105">
        <f t="shared" si="5"/>
        <v>249.58</v>
      </c>
      <c r="K16" s="106">
        <f t="shared" si="5"/>
        <v>2.96</v>
      </c>
      <c r="L16" s="106">
        <f t="shared" si="5"/>
        <v>738.7568</v>
      </c>
      <c r="M16" s="177"/>
    </row>
    <row r="17" spans="1:13" x14ac:dyDescent="0.25">
      <c r="A17" s="174"/>
      <c r="B17" s="176"/>
      <c r="C17" s="105" t="str">
        <f>+COMPRAS!G95</f>
        <v>pino natural peq. Procesado ceja</v>
      </c>
      <c r="D17" s="105">
        <f>+COMPRAS!D95</f>
        <v>73.540000000000006</v>
      </c>
      <c r="E17" s="106">
        <f>+COMPRAS!H95</f>
        <v>3.15</v>
      </c>
      <c r="F17" s="106">
        <f t="shared" si="0"/>
        <v>231.65100000000001</v>
      </c>
      <c r="G17" s="105"/>
      <c r="H17" s="105"/>
      <c r="I17" s="105"/>
      <c r="J17" s="105">
        <f t="shared" si="5"/>
        <v>73.540000000000006</v>
      </c>
      <c r="K17" s="106">
        <f t="shared" si="5"/>
        <v>3.15</v>
      </c>
      <c r="L17" s="106">
        <f t="shared" si="5"/>
        <v>231.65100000000001</v>
      </c>
      <c r="M17" s="177"/>
    </row>
    <row r="18" spans="1:13" x14ac:dyDescent="0.25">
      <c r="A18" s="174"/>
      <c r="B18" s="176"/>
      <c r="C18" s="105" t="str">
        <f>+COMPRAS!G96</f>
        <v>pino natural procesado con ceja der</v>
      </c>
      <c r="D18" s="105">
        <f>+COMPRAS!D96</f>
        <v>29</v>
      </c>
      <c r="E18" s="106">
        <f>+COMPRAS!H96</f>
        <v>1.25</v>
      </c>
      <c r="F18" s="106">
        <f t="shared" si="0"/>
        <v>36.25</v>
      </c>
      <c r="G18" s="105"/>
      <c r="H18" s="105"/>
      <c r="I18" s="105"/>
      <c r="J18" s="105">
        <f t="shared" si="5"/>
        <v>29</v>
      </c>
      <c r="K18" s="106">
        <f t="shared" si="5"/>
        <v>1.25</v>
      </c>
      <c r="L18" s="106">
        <f t="shared" si="5"/>
        <v>36.25</v>
      </c>
      <c r="M18" s="177"/>
    </row>
    <row r="19" spans="1:13" x14ac:dyDescent="0.25">
      <c r="A19" s="178">
        <f>+COMPRAS!C128</f>
        <v>43498</v>
      </c>
      <c r="B19" s="180" t="str">
        <f>+CONCATENATE(COMPRAS!C118," ",COMPRAS!C138)</f>
        <v>FACTURA COMPRA # 5 001-001-104</v>
      </c>
      <c r="C19" s="107" t="str">
        <f>+COMPRAS!G121</f>
        <v>Azúl Con Dorado</v>
      </c>
      <c r="D19" s="107">
        <f>+COMPRAS!D121</f>
        <v>118.47</v>
      </c>
      <c r="E19" s="108">
        <f>+COMPRAS!H121</f>
        <v>1.47</v>
      </c>
      <c r="F19" s="108">
        <f t="shared" si="0"/>
        <v>174.15090000000001</v>
      </c>
      <c r="G19" s="107"/>
      <c r="H19" s="107"/>
      <c r="I19" s="107"/>
      <c r="J19" s="107">
        <f t="shared" ref="J19:J26" si="6">+J15+D19</f>
        <v>236.94</v>
      </c>
      <c r="K19" s="108">
        <f t="shared" ref="K19:K50" si="7">+L19/J19</f>
        <v>1.47</v>
      </c>
      <c r="L19" s="108">
        <f t="shared" ref="L19:L26" si="8">+L15+F19</f>
        <v>348.30180000000001</v>
      </c>
      <c r="M19" s="177" t="s">
        <v>329</v>
      </c>
    </row>
    <row r="20" spans="1:13" x14ac:dyDescent="0.25">
      <c r="A20" s="179"/>
      <c r="B20" s="181"/>
      <c r="C20" s="107" t="str">
        <f>+COMPRAS!G122</f>
        <v>pino natural procesado con ceja izq</v>
      </c>
      <c r="D20" s="107">
        <f>+COMPRAS!D122</f>
        <v>249.58</v>
      </c>
      <c r="E20" s="108">
        <f>+COMPRAS!H122</f>
        <v>2.96</v>
      </c>
      <c r="F20" s="108">
        <f t="shared" si="0"/>
        <v>738.7568</v>
      </c>
      <c r="G20" s="107"/>
      <c r="H20" s="107"/>
      <c r="I20" s="107"/>
      <c r="J20" s="107">
        <f t="shared" si="6"/>
        <v>499.16</v>
      </c>
      <c r="K20" s="108">
        <f t="shared" si="7"/>
        <v>2.96</v>
      </c>
      <c r="L20" s="108">
        <f t="shared" si="8"/>
        <v>1477.5136</v>
      </c>
      <c r="M20" s="177"/>
    </row>
    <row r="21" spans="1:13" x14ac:dyDescent="0.25">
      <c r="A21" s="179"/>
      <c r="B21" s="181"/>
      <c r="C21" s="107" t="str">
        <f>+COMPRAS!G123</f>
        <v>pino natural peq. Procesado ceja</v>
      </c>
      <c r="D21" s="107">
        <f>+COMPRAS!D123</f>
        <v>73.540000000000006</v>
      </c>
      <c r="E21" s="108">
        <f>+COMPRAS!H123</f>
        <v>3.15</v>
      </c>
      <c r="F21" s="108">
        <f t="shared" si="0"/>
        <v>231.65100000000001</v>
      </c>
      <c r="G21" s="107"/>
      <c r="H21" s="107"/>
      <c r="I21" s="107"/>
      <c r="J21" s="107">
        <f t="shared" si="6"/>
        <v>147.08000000000001</v>
      </c>
      <c r="K21" s="108">
        <f t="shared" si="7"/>
        <v>3.15</v>
      </c>
      <c r="L21" s="108">
        <f t="shared" si="8"/>
        <v>463.30200000000002</v>
      </c>
      <c r="M21" s="177"/>
    </row>
    <row r="22" spans="1:13" x14ac:dyDescent="0.25">
      <c r="A22" s="179"/>
      <c r="B22" s="181"/>
      <c r="C22" s="107" t="str">
        <f>+COMPRAS!G124</f>
        <v>pino natural procesado con ceja der</v>
      </c>
      <c r="D22" s="107">
        <f>+COMPRAS!D124</f>
        <v>29</v>
      </c>
      <c r="E22" s="108">
        <f>+COMPRAS!H124</f>
        <v>1.25</v>
      </c>
      <c r="F22" s="108">
        <f t="shared" si="0"/>
        <v>36.25</v>
      </c>
      <c r="G22" s="107"/>
      <c r="H22" s="107"/>
      <c r="I22" s="107"/>
      <c r="J22" s="107">
        <f t="shared" si="6"/>
        <v>58</v>
      </c>
      <c r="K22" s="108">
        <f t="shared" si="7"/>
        <v>1.25</v>
      </c>
      <c r="L22" s="108">
        <f t="shared" si="8"/>
        <v>72.5</v>
      </c>
      <c r="M22" s="177"/>
    </row>
    <row r="23" spans="1:13" x14ac:dyDescent="0.25">
      <c r="A23" s="173">
        <f>+COMPRAS!C161</f>
        <v>43498</v>
      </c>
      <c r="B23" s="175" t="str">
        <f>+CONCATENATE(COMPRAS!C151," ",COMPRAS!C171)</f>
        <v>FACTURA COMPRA # 6 001-001-105</v>
      </c>
      <c r="C23" s="105" t="str">
        <f>+COMPRAS!G154</f>
        <v>Azúl Con Dorado</v>
      </c>
      <c r="D23" s="105">
        <f>+COMPRAS!D154</f>
        <v>118.47</v>
      </c>
      <c r="E23" s="106">
        <f>+COMPRAS!H154</f>
        <v>1.47</v>
      </c>
      <c r="F23" s="106">
        <f t="shared" si="0"/>
        <v>174.15090000000001</v>
      </c>
      <c r="G23" s="105"/>
      <c r="H23" s="105"/>
      <c r="I23" s="105"/>
      <c r="J23" s="105">
        <f t="shared" si="6"/>
        <v>355.40999999999997</v>
      </c>
      <c r="K23" s="106">
        <f t="shared" si="7"/>
        <v>1.4700000000000002</v>
      </c>
      <c r="L23" s="106">
        <f t="shared" si="8"/>
        <v>522.45270000000005</v>
      </c>
      <c r="M23" s="177" t="s">
        <v>329</v>
      </c>
    </row>
    <row r="24" spans="1:13" x14ac:dyDescent="0.25">
      <c r="A24" s="174"/>
      <c r="B24" s="176"/>
      <c r="C24" s="105" t="str">
        <f>+COMPRAS!G155</f>
        <v>pino natural procesado con ceja izq</v>
      </c>
      <c r="D24" s="105">
        <f>+COMPRAS!D155</f>
        <v>249.58</v>
      </c>
      <c r="E24" s="106">
        <f>+COMPRAS!H155</f>
        <v>2.96</v>
      </c>
      <c r="F24" s="106">
        <f t="shared" si="0"/>
        <v>738.7568</v>
      </c>
      <c r="G24" s="105"/>
      <c r="H24" s="105"/>
      <c r="I24" s="105"/>
      <c r="J24" s="105">
        <f t="shared" si="6"/>
        <v>748.74</v>
      </c>
      <c r="K24" s="106">
        <f t="shared" si="7"/>
        <v>2.96</v>
      </c>
      <c r="L24" s="106">
        <f t="shared" si="8"/>
        <v>2216.2703999999999</v>
      </c>
      <c r="M24" s="177"/>
    </row>
    <row r="25" spans="1:13" x14ac:dyDescent="0.25">
      <c r="A25" s="174"/>
      <c r="B25" s="176"/>
      <c r="C25" s="105" t="str">
        <f>+COMPRAS!G156</f>
        <v>pino natural peq. Procesado ceja</v>
      </c>
      <c r="D25" s="105">
        <f>+COMPRAS!D156</f>
        <v>73.540000000000006</v>
      </c>
      <c r="E25" s="106">
        <f>+COMPRAS!H156</f>
        <v>3.15</v>
      </c>
      <c r="F25" s="106">
        <f t="shared" si="0"/>
        <v>231.65100000000001</v>
      </c>
      <c r="G25" s="105"/>
      <c r="H25" s="105"/>
      <c r="I25" s="105"/>
      <c r="J25" s="105">
        <f t="shared" si="6"/>
        <v>220.62</v>
      </c>
      <c r="K25" s="106">
        <f t="shared" si="7"/>
        <v>3.15</v>
      </c>
      <c r="L25" s="106">
        <f t="shared" si="8"/>
        <v>694.95299999999997</v>
      </c>
      <c r="M25" s="177"/>
    </row>
    <row r="26" spans="1:13" x14ac:dyDescent="0.25">
      <c r="A26" s="174"/>
      <c r="B26" s="176"/>
      <c r="C26" s="105" t="str">
        <f>+COMPRAS!G157</f>
        <v>pino natural procesado con ceja der</v>
      </c>
      <c r="D26" s="105">
        <f>+COMPRAS!D157</f>
        <v>29</v>
      </c>
      <c r="E26" s="106">
        <f>+COMPRAS!H157</f>
        <v>1.25</v>
      </c>
      <c r="F26" s="106">
        <f t="shared" si="0"/>
        <v>36.25</v>
      </c>
      <c r="G26" s="105"/>
      <c r="H26" s="105"/>
      <c r="I26" s="105"/>
      <c r="J26" s="105">
        <f t="shared" si="6"/>
        <v>87</v>
      </c>
      <c r="K26" s="106">
        <f t="shared" si="7"/>
        <v>1.25</v>
      </c>
      <c r="L26" s="106">
        <f t="shared" si="8"/>
        <v>108.75</v>
      </c>
      <c r="M26" s="177"/>
    </row>
    <row r="27" spans="1:13" x14ac:dyDescent="0.25">
      <c r="A27" s="178">
        <f>+COMPRAS!C192</f>
        <v>43497</v>
      </c>
      <c r="B27" s="180" t="str">
        <f>+CONCATENATE(COMPRAS!C182," ",COMPRAS!C193,"-",COMPRAS!C194,"-",COMPRAS!C195)</f>
        <v>FACTURA COMPRA # 7 001-001-106</v>
      </c>
      <c r="C27" s="107" t="str">
        <f>+COMPRAS!G185</f>
        <v>ACEITE DE VASELINA GL.QF</v>
      </c>
      <c r="D27" s="107">
        <f>+COMPRAS!D185</f>
        <v>61</v>
      </c>
      <c r="E27" s="108">
        <f>+COMPRAS!H185</f>
        <v>1.45</v>
      </c>
      <c r="F27" s="108">
        <f t="shared" si="0"/>
        <v>88.45</v>
      </c>
      <c r="G27" s="107"/>
      <c r="H27" s="107"/>
      <c r="I27" s="107"/>
      <c r="J27" s="107">
        <f>+J11+D27</f>
        <v>244</v>
      </c>
      <c r="K27" s="108">
        <f t="shared" si="7"/>
        <v>1.45</v>
      </c>
      <c r="L27" s="108">
        <f>+L11+F27</f>
        <v>353.8</v>
      </c>
      <c r="M27" s="177" t="s">
        <v>329</v>
      </c>
    </row>
    <row r="28" spans="1:13" x14ac:dyDescent="0.25">
      <c r="A28" s="179"/>
      <c r="B28" s="181"/>
      <c r="C28" s="107" t="str">
        <f>+COMPRAS!G186</f>
        <v>Bastidor</v>
      </c>
      <c r="D28" s="107">
        <f>+COMPRAS!D186</f>
        <v>56.21</v>
      </c>
      <c r="E28" s="108">
        <f>+COMPRAS!H186</f>
        <v>2.96</v>
      </c>
      <c r="F28" s="108">
        <f t="shared" si="0"/>
        <v>166.38159999999999</v>
      </c>
      <c r="G28" s="107"/>
      <c r="H28" s="107"/>
      <c r="I28" s="107"/>
      <c r="J28" s="107">
        <f>+J12+D28</f>
        <v>224.84</v>
      </c>
      <c r="K28" s="108">
        <f t="shared" si="7"/>
        <v>2.96</v>
      </c>
      <c r="L28" s="108">
        <f>+L12+F28</f>
        <v>665.52639999999997</v>
      </c>
      <c r="M28" s="177"/>
    </row>
    <row r="29" spans="1:13" x14ac:dyDescent="0.25">
      <c r="A29" s="179"/>
      <c r="B29" s="181"/>
      <c r="C29" s="107" t="str">
        <f>+COMPRAS!G187</f>
        <v>Tira  Color Dorado Con Filos Negros De 7.5 Ancho</v>
      </c>
      <c r="D29" s="107">
        <f>+COMPRAS!D187</f>
        <v>49</v>
      </c>
      <c r="E29" s="108">
        <f>+COMPRAS!H187</f>
        <v>3.15</v>
      </c>
      <c r="F29" s="108">
        <f t="shared" si="0"/>
        <v>154.35</v>
      </c>
      <c r="G29" s="107"/>
      <c r="H29" s="107"/>
      <c r="I29" s="107"/>
      <c r="J29" s="107">
        <f>+J13+D29</f>
        <v>196</v>
      </c>
      <c r="K29" s="108">
        <f t="shared" si="7"/>
        <v>3.15</v>
      </c>
      <c r="L29" s="108">
        <f>+L13+F29</f>
        <v>617.4</v>
      </c>
      <c r="M29" s="177"/>
    </row>
    <row r="30" spans="1:13" x14ac:dyDescent="0.25">
      <c r="A30" s="179"/>
      <c r="B30" s="181"/>
      <c r="C30" s="107" t="str">
        <f>+COMPRAS!G188</f>
        <v>Blanca Estucada Semimate</v>
      </c>
      <c r="D30" s="107">
        <f>+COMPRAS!D188</f>
        <v>12.2</v>
      </c>
      <c r="E30" s="108">
        <f>+COMPRAS!H188</f>
        <v>1.25</v>
      </c>
      <c r="F30" s="108">
        <f t="shared" si="0"/>
        <v>15.25</v>
      </c>
      <c r="G30" s="107"/>
      <c r="H30" s="107"/>
      <c r="I30" s="107"/>
      <c r="J30" s="107">
        <f>+J14+D30</f>
        <v>48.8</v>
      </c>
      <c r="K30" s="108">
        <f t="shared" si="7"/>
        <v>1.25</v>
      </c>
      <c r="L30" s="108">
        <f>+L14+F30</f>
        <v>61</v>
      </c>
      <c r="M30" s="177"/>
    </row>
    <row r="31" spans="1:13" x14ac:dyDescent="0.25">
      <c r="A31" s="173">
        <f>+COMPRAS!C215</f>
        <v>43497</v>
      </c>
      <c r="B31" s="175" t="str">
        <f>+CONCATENATE(COMPRAS!C205," ",COMPRAS!C216,"-",COMPRAS!C217,"-",COMPRAS!C218)</f>
        <v>FACTURA COMPRA # 8 001-001-107</v>
      </c>
      <c r="C31" s="105" t="str">
        <f>+COMPRAS!G208</f>
        <v>ACEITE DE VASELINA GL.QF</v>
      </c>
      <c r="D31" s="105">
        <f>+COMPRAS!D208</f>
        <v>61</v>
      </c>
      <c r="E31" s="106">
        <f>+COMPRAS!H208</f>
        <v>1.45</v>
      </c>
      <c r="F31" s="106">
        <f t="shared" si="0"/>
        <v>88.45</v>
      </c>
      <c r="G31" s="105"/>
      <c r="H31" s="105"/>
      <c r="I31" s="105"/>
      <c r="J31" s="105">
        <f t="shared" ref="J31:J38" si="9">+J27+D31</f>
        <v>305</v>
      </c>
      <c r="K31" s="106">
        <f t="shared" si="7"/>
        <v>1.45</v>
      </c>
      <c r="L31" s="106">
        <f t="shared" ref="L31:L38" si="10">+L27+F31</f>
        <v>442.25</v>
      </c>
      <c r="M31" s="177" t="s">
        <v>329</v>
      </c>
    </row>
    <row r="32" spans="1:13" x14ac:dyDescent="0.25">
      <c r="A32" s="174"/>
      <c r="B32" s="176"/>
      <c r="C32" s="105" t="str">
        <f>+COMPRAS!G209</f>
        <v>Bastidor</v>
      </c>
      <c r="D32" s="105">
        <f>+COMPRAS!D209</f>
        <v>56.21</v>
      </c>
      <c r="E32" s="106">
        <f>+COMPRAS!H209</f>
        <v>2.96</v>
      </c>
      <c r="F32" s="106">
        <f t="shared" si="0"/>
        <v>166.38159999999999</v>
      </c>
      <c r="G32" s="105"/>
      <c r="H32" s="105"/>
      <c r="I32" s="105"/>
      <c r="J32" s="105">
        <f t="shared" si="9"/>
        <v>281.05</v>
      </c>
      <c r="K32" s="106">
        <f t="shared" si="7"/>
        <v>2.9599999999999995</v>
      </c>
      <c r="L32" s="106">
        <f t="shared" si="10"/>
        <v>831.9079999999999</v>
      </c>
      <c r="M32" s="177"/>
    </row>
    <row r="33" spans="1:13" x14ac:dyDescent="0.25">
      <c r="A33" s="174"/>
      <c r="B33" s="176"/>
      <c r="C33" s="105" t="str">
        <f>+COMPRAS!G210</f>
        <v>Tira  Color Dorado Con Filos Negros De 7.5 Ancho</v>
      </c>
      <c r="D33" s="105">
        <f>+COMPRAS!D210</f>
        <v>49</v>
      </c>
      <c r="E33" s="106">
        <f>+COMPRAS!H210</f>
        <v>4.7300000000000004</v>
      </c>
      <c r="F33" s="106">
        <f t="shared" si="0"/>
        <v>231.77</v>
      </c>
      <c r="G33" s="105"/>
      <c r="H33" s="105"/>
      <c r="I33" s="105"/>
      <c r="J33" s="105">
        <f t="shared" si="9"/>
        <v>245</v>
      </c>
      <c r="K33" s="106">
        <f t="shared" si="7"/>
        <v>3.4659999999999997</v>
      </c>
      <c r="L33" s="106">
        <f t="shared" si="10"/>
        <v>849.17</v>
      </c>
      <c r="M33" s="177"/>
    </row>
    <row r="34" spans="1:13" x14ac:dyDescent="0.25">
      <c r="A34" s="174"/>
      <c r="B34" s="176"/>
      <c r="C34" s="105" t="str">
        <f>+COMPRAS!G211</f>
        <v>Blanca Estucada Semimate</v>
      </c>
      <c r="D34" s="105">
        <f>+COMPRAS!D211</f>
        <v>12.2</v>
      </c>
      <c r="E34" s="106">
        <f>+COMPRAS!H211</f>
        <v>1.25</v>
      </c>
      <c r="F34" s="106">
        <f t="shared" si="0"/>
        <v>15.25</v>
      </c>
      <c r="G34" s="105"/>
      <c r="H34" s="105"/>
      <c r="I34" s="105"/>
      <c r="J34" s="105">
        <f t="shared" si="9"/>
        <v>61</v>
      </c>
      <c r="K34" s="106">
        <f t="shared" si="7"/>
        <v>1.25</v>
      </c>
      <c r="L34" s="106">
        <f t="shared" si="10"/>
        <v>76.25</v>
      </c>
      <c r="M34" s="177"/>
    </row>
    <row r="35" spans="1:13" x14ac:dyDescent="0.25">
      <c r="A35" s="178">
        <f>+COMPRAS!C238</f>
        <v>43497</v>
      </c>
      <c r="B35" s="180" t="str">
        <f>+CONCATENATE(COMPRAS!C228," ",COMPRAS!C239,"-",COMPRAS!C240,"-",COMPRAS!C241)</f>
        <v>FACTURA COMPRA # 9 001-001-108</v>
      </c>
      <c r="C35" s="107" t="str">
        <f>+COMPRAS!G231</f>
        <v>ACEITE DE VASELINA GL.QF</v>
      </c>
      <c r="D35" s="107">
        <f>+COMPRAS!D231</f>
        <v>61</v>
      </c>
      <c r="E35" s="108">
        <f>+COMPRAS!H231</f>
        <v>1.45</v>
      </c>
      <c r="F35" s="108">
        <f t="shared" si="0"/>
        <v>88.45</v>
      </c>
      <c r="G35" s="107"/>
      <c r="H35" s="107"/>
      <c r="I35" s="107"/>
      <c r="J35" s="107">
        <f t="shared" si="9"/>
        <v>366</v>
      </c>
      <c r="K35" s="108">
        <f t="shared" si="7"/>
        <v>1.4500000000000002</v>
      </c>
      <c r="L35" s="108">
        <f t="shared" si="10"/>
        <v>530.70000000000005</v>
      </c>
      <c r="M35" s="177" t="s">
        <v>329</v>
      </c>
    </row>
    <row r="36" spans="1:13" x14ac:dyDescent="0.25">
      <c r="A36" s="179"/>
      <c r="B36" s="181"/>
      <c r="C36" s="107" t="str">
        <f>+COMPRAS!G232</f>
        <v>Bastidor</v>
      </c>
      <c r="D36" s="107">
        <f>+COMPRAS!D232</f>
        <v>56.21</v>
      </c>
      <c r="E36" s="108">
        <f>+COMPRAS!H232</f>
        <v>2.96</v>
      </c>
      <c r="F36" s="108">
        <f t="shared" si="0"/>
        <v>166.38159999999999</v>
      </c>
      <c r="G36" s="107"/>
      <c r="H36" s="107"/>
      <c r="I36" s="107"/>
      <c r="J36" s="107">
        <f t="shared" si="9"/>
        <v>337.26</v>
      </c>
      <c r="K36" s="108">
        <f t="shared" si="7"/>
        <v>2.9599999999999995</v>
      </c>
      <c r="L36" s="108">
        <f t="shared" si="10"/>
        <v>998.28959999999984</v>
      </c>
      <c r="M36" s="177"/>
    </row>
    <row r="37" spans="1:13" x14ac:dyDescent="0.25">
      <c r="A37" s="179"/>
      <c r="B37" s="181"/>
      <c r="C37" s="107" t="str">
        <f>+COMPRAS!G233</f>
        <v>Tira  Color Dorado Con Filos Negros De 7.5 Ancho</v>
      </c>
      <c r="D37" s="107">
        <f>+COMPRAS!D233</f>
        <v>49</v>
      </c>
      <c r="E37" s="108">
        <f>+COMPRAS!H233</f>
        <v>2.77</v>
      </c>
      <c r="F37" s="108">
        <f t="shared" si="0"/>
        <v>135.72999999999999</v>
      </c>
      <c r="G37" s="107"/>
      <c r="H37" s="107"/>
      <c r="I37" s="107"/>
      <c r="J37" s="107">
        <f t="shared" si="9"/>
        <v>294</v>
      </c>
      <c r="K37" s="108">
        <f t="shared" si="7"/>
        <v>3.35</v>
      </c>
      <c r="L37" s="108">
        <f t="shared" si="10"/>
        <v>984.9</v>
      </c>
      <c r="M37" s="177"/>
    </row>
    <row r="38" spans="1:13" x14ac:dyDescent="0.25">
      <c r="A38" s="179"/>
      <c r="B38" s="181"/>
      <c r="C38" s="107" t="str">
        <f>+COMPRAS!G234</f>
        <v>Blanca Estucada Semimate</v>
      </c>
      <c r="D38" s="107">
        <f>+COMPRAS!D234</f>
        <v>12.2</v>
      </c>
      <c r="E38" s="108">
        <f>+COMPRAS!H234</f>
        <v>1.25</v>
      </c>
      <c r="F38" s="108">
        <f t="shared" si="0"/>
        <v>15.25</v>
      </c>
      <c r="G38" s="107"/>
      <c r="H38" s="107"/>
      <c r="I38" s="107"/>
      <c r="J38" s="107">
        <f t="shared" si="9"/>
        <v>73.2</v>
      </c>
      <c r="K38" s="108">
        <f t="shared" si="7"/>
        <v>1.25</v>
      </c>
      <c r="L38" s="108">
        <f t="shared" si="10"/>
        <v>91.5</v>
      </c>
      <c r="M38" s="177"/>
    </row>
    <row r="39" spans="1:13" x14ac:dyDescent="0.25">
      <c r="A39" s="173">
        <f>+COMPRAS!C261</f>
        <v>43498</v>
      </c>
      <c r="B39" s="175" t="str">
        <f>+CONCATENATE(COMPRAS!C251," ",COMPRAS!C262,"-",COMPRAS!C263,"-",COMPRAS!C264)</f>
        <v>FACTURA COMPRA # 10 001-001-109</v>
      </c>
      <c r="C39" s="105" t="str">
        <f>+COMPRAS!G254</f>
        <v>Azúl Con Dorado</v>
      </c>
      <c r="D39" s="105">
        <f>+COMPRAS!D254</f>
        <v>118.47</v>
      </c>
      <c r="E39" s="106">
        <f>+COMPRAS!H254</f>
        <v>1.47</v>
      </c>
      <c r="F39" s="106">
        <f t="shared" ref="F39:F42" si="11">+D39*E39</f>
        <v>174.15090000000001</v>
      </c>
      <c r="G39" s="105"/>
      <c r="H39" s="105"/>
      <c r="I39" s="105"/>
      <c r="J39" s="105">
        <f>+J23+D39</f>
        <v>473.88</v>
      </c>
      <c r="K39" s="106">
        <f t="shared" si="7"/>
        <v>1.47</v>
      </c>
      <c r="L39" s="106">
        <f>+L23+F39</f>
        <v>696.60360000000003</v>
      </c>
      <c r="M39" s="177" t="s">
        <v>329</v>
      </c>
    </row>
    <row r="40" spans="1:13" x14ac:dyDescent="0.25">
      <c r="A40" s="174"/>
      <c r="B40" s="176"/>
      <c r="C40" s="105" t="str">
        <f>+COMPRAS!G255</f>
        <v>pino natural procesado con ceja izq</v>
      </c>
      <c r="D40" s="105">
        <f>+COMPRAS!D255</f>
        <v>249.58</v>
      </c>
      <c r="E40" s="106">
        <f>+COMPRAS!H255</f>
        <v>2.96</v>
      </c>
      <c r="F40" s="106">
        <f t="shared" ref="F40:F46" si="12">+D40*E40</f>
        <v>738.7568</v>
      </c>
      <c r="G40" s="105"/>
      <c r="H40" s="105"/>
      <c r="I40" s="105"/>
      <c r="J40" s="105">
        <f t="shared" ref="J40:J42" si="13">+J24+D40</f>
        <v>998.32</v>
      </c>
      <c r="K40" s="106">
        <f t="shared" si="7"/>
        <v>2.96</v>
      </c>
      <c r="L40" s="106">
        <f t="shared" ref="L40:L42" si="14">+L24+F40</f>
        <v>2955.0272</v>
      </c>
      <c r="M40" s="177"/>
    </row>
    <row r="41" spans="1:13" x14ac:dyDescent="0.25">
      <c r="A41" s="174"/>
      <c r="B41" s="176"/>
      <c r="C41" s="105" t="str">
        <f>+COMPRAS!G256</f>
        <v>pino natural peq. Procesado ceja</v>
      </c>
      <c r="D41" s="105">
        <f>+COMPRAS!D256</f>
        <v>73.540000000000006</v>
      </c>
      <c r="E41" s="106">
        <f>+COMPRAS!H256</f>
        <v>3.15</v>
      </c>
      <c r="F41" s="106">
        <f t="shared" si="12"/>
        <v>231.65100000000001</v>
      </c>
      <c r="G41" s="105"/>
      <c r="H41" s="105"/>
      <c r="I41" s="105"/>
      <c r="J41" s="105">
        <f t="shared" si="13"/>
        <v>294.16000000000003</v>
      </c>
      <c r="K41" s="106">
        <f t="shared" si="7"/>
        <v>3.15</v>
      </c>
      <c r="L41" s="106">
        <f t="shared" si="14"/>
        <v>926.60400000000004</v>
      </c>
      <c r="M41" s="177"/>
    </row>
    <row r="42" spans="1:13" x14ac:dyDescent="0.25">
      <c r="A42" s="174"/>
      <c r="B42" s="176"/>
      <c r="C42" s="105" t="str">
        <f>+COMPRAS!G257</f>
        <v>pino natural procesado con ceja der</v>
      </c>
      <c r="D42" s="105">
        <f>+COMPRAS!D257</f>
        <v>29</v>
      </c>
      <c r="E42" s="106">
        <f>+COMPRAS!H257</f>
        <v>1.25</v>
      </c>
      <c r="F42" s="106">
        <f t="shared" si="12"/>
        <v>36.25</v>
      </c>
      <c r="G42" s="105"/>
      <c r="H42" s="105"/>
      <c r="I42" s="105"/>
      <c r="J42" s="105">
        <f t="shared" si="13"/>
        <v>116</v>
      </c>
      <c r="K42" s="106">
        <f t="shared" si="7"/>
        <v>1.25</v>
      </c>
      <c r="L42" s="106">
        <f t="shared" si="14"/>
        <v>145</v>
      </c>
      <c r="M42" s="177"/>
    </row>
    <row r="43" spans="1:13" x14ac:dyDescent="0.25">
      <c r="A43" s="178">
        <f>+COMPRAS!C284</f>
        <v>43498</v>
      </c>
      <c r="B43" s="180" t="str">
        <f>+CONCATENATE(COMPRAS!C274," ",COMPRAS!C285,"-",COMPRAS!C286,"-",COMPRAS!C287)</f>
        <v>FACTURA COMPRA # 11 001-001-110</v>
      </c>
      <c r="C43" s="107" t="str">
        <f>+COMPRAS!G277</f>
        <v>Azúl Con Dorado</v>
      </c>
      <c r="D43" s="107">
        <f>+COMPRAS!D277</f>
        <v>118.47</v>
      </c>
      <c r="E43" s="108">
        <f>+COMPRAS!H277</f>
        <v>1.47</v>
      </c>
      <c r="F43" s="108">
        <f t="shared" si="12"/>
        <v>174.15090000000001</v>
      </c>
      <c r="G43" s="107"/>
      <c r="H43" s="107"/>
      <c r="I43" s="107"/>
      <c r="J43" s="107">
        <f>+J39+D43</f>
        <v>592.35</v>
      </c>
      <c r="K43" s="108">
        <f>+L43/J43</f>
        <v>1.47</v>
      </c>
      <c r="L43" s="108">
        <f>+L39+F43</f>
        <v>870.75450000000001</v>
      </c>
      <c r="M43" s="177" t="s">
        <v>329</v>
      </c>
    </row>
    <row r="44" spans="1:13" x14ac:dyDescent="0.25">
      <c r="A44" s="179"/>
      <c r="B44" s="181"/>
      <c r="C44" s="107" t="str">
        <f>+COMPRAS!G278</f>
        <v>pino natural procesado con ceja izq</v>
      </c>
      <c r="D44" s="107">
        <f>+COMPRAS!D278</f>
        <v>249.58</v>
      </c>
      <c r="E44" s="108">
        <f>+COMPRAS!H278</f>
        <v>2.96</v>
      </c>
      <c r="F44" s="108">
        <f t="shared" ref="F44:F50" si="15">+D44*E44</f>
        <v>738.7568</v>
      </c>
      <c r="G44" s="107"/>
      <c r="H44" s="107"/>
      <c r="I44" s="107"/>
      <c r="J44" s="107">
        <f t="shared" ref="J44:J46" si="16">+J40+D44</f>
        <v>1247.9000000000001</v>
      </c>
      <c r="K44" s="108">
        <f t="shared" ref="K44:K46" si="17">+L44/J44</f>
        <v>2.96</v>
      </c>
      <c r="L44" s="108">
        <f t="shared" ref="L44:L46" si="18">+L40+F44</f>
        <v>3693.7840000000001</v>
      </c>
      <c r="M44" s="177"/>
    </row>
    <row r="45" spans="1:13" x14ac:dyDescent="0.25">
      <c r="A45" s="179"/>
      <c r="B45" s="181"/>
      <c r="C45" s="107" t="str">
        <f>+COMPRAS!G279</f>
        <v>pino natural peq. Procesado ceja</v>
      </c>
      <c r="D45" s="107">
        <f>+COMPRAS!D279</f>
        <v>73.540000000000006</v>
      </c>
      <c r="E45" s="108">
        <f>+COMPRAS!H279</f>
        <v>3.15</v>
      </c>
      <c r="F45" s="108">
        <f t="shared" si="15"/>
        <v>231.65100000000001</v>
      </c>
      <c r="G45" s="107"/>
      <c r="H45" s="107"/>
      <c r="I45" s="107"/>
      <c r="J45" s="107">
        <f t="shared" si="16"/>
        <v>367.70000000000005</v>
      </c>
      <c r="K45" s="108">
        <f t="shared" si="17"/>
        <v>3.15</v>
      </c>
      <c r="L45" s="108">
        <f t="shared" si="18"/>
        <v>1158.2550000000001</v>
      </c>
      <c r="M45" s="177"/>
    </row>
    <row r="46" spans="1:13" x14ac:dyDescent="0.25">
      <c r="A46" s="179"/>
      <c r="B46" s="181"/>
      <c r="C46" s="107" t="str">
        <f>+COMPRAS!G280</f>
        <v>pino natural procesado con ceja der</v>
      </c>
      <c r="D46" s="107">
        <f>+COMPRAS!D280</f>
        <v>29</v>
      </c>
      <c r="E46" s="108">
        <f>+COMPRAS!H280</f>
        <v>1.25</v>
      </c>
      <c r="F46" s="108">
        <f t="shared" si="15"/>
        <v>36.25</v>
      </c>
      <c r="G46" s="107"/>
      <c r="H46" s="107"/>
      <c r="I46" s="107"/>
      <c r="J46" s="107">
        <f t="shared" si="16"/>
        <v>145</v>
      </c>
      <c r="K46" s="108">
        <f t="shared" si="17"/>
        <v>1.25</v>
      </c>
      <c r="L46" s="108">
        <f t="shared" si="18"/>
        <v>181.25</v>
      </c>
      <c r="M46" s="177"/>
    </row>
    <row r="47" spans="1:13" x14ac:dyDescent="0.25">
      <c r="A47" s="173">
        <f>+COMPRAS!C313</f>
        <v>43498</v>
      </c>
      <c r="B47" s="175" t="str">
        <f>+CONCATENATE(COMPRAS!C303," ",COMPRAS!C314,"-",COMPRAS!C315,"-",COMPRAS!C316)</f>
        <v>FACTURA COMPRA # 12 001-001-111</v>
      </c>
      <c r="C47" s="105" t="str">
        <f>+COMPRAS!G306</f>
        <v>Azúl Con Dorado</v>
      </c>
      <c r="D47" s="105">
        <f>+COMPRAS!D306</f>
        <v>118.47</v>
      </c>
      <c r="E47" s="106">
        <f>+COMPRAS!H306</f>
        <v>1.47</v>
      </c>
      <c r="F47" s="106">
        <f t="shared" si="15"/>
        <v>174.15090000000001</v>
      </c>
      <c r="G47" s="105"/>
      <c r="H47" s="105"/>
      <c r="I47" s="105"/>
      <c r="J47" s="105">
        <f>+J43+D47</f>
        <v>710.82</v>
      </c>
      <c r="K47" s="106">
        <f t="shared" si="7"/>
        <v>1.47</v>
      </c>
      <c r="L47" s="106">
        <f>+L43+F47</f>
        <v>1044.9054000000001</v>
      </c>
      <c r="M47" s="177" t="s">
        <v>329</v>
      </c>
    </row>
    <row r="48" spans="1:13" x14ac:dyDescent="0.25">
      <c r="A48" s="174"/>
      <c r="B48" s="176"/>
      <c r="C48" s="105" t="str">
        <f>+COMPRAS!G307</f>
        <v>pino natural procesado con ceja izq</v>
      </c>
      <c r="D48" s="105">
        <f>+COMPRAS!D307</f>
        <v>249.58</v>
      </c>
      <c r="E48" s="106">
        <f>+COMPRAS!H307</f>
        <v>2.96</v>
      </c>
      <c r="F48" s="106">
        <f t="shared" ref="F48:F54" si="19">+D48*E48</f>
        <v>738.7568</v>
      </c>
      <c r="G48" s="105"/>
      <c r="H48" s="105"/>
      <c r="I48" s="105"/>
      <c r="J48" s="105">
        <f t="shared" ref="J48:J50" si="20">+J44+D48</f>
        <v>1497.48</v>
      </c>
      <c r="K48" s="106">
        <f t="shared" si="7"/>
        <v>2.96</v>
      </c>
      <c r="L48" s="106">
        <f t="shared" ref="L48:L50" si="21">+L44+F48</f>
        <v>4432.5407999999998</v>
      </c>
      <c r="M48" s="177"/>
    </row>
    <row r="49" spans="1:13" x14ac:dyDescent="0.25">
      <c r="A49" s="174"/>
      <c r="B49" s="176"/>
      <c r="C49" s="105" t="str">
        <f>+COMPRAS!G308</f>
        <v>pino natural peq. Procesado ceja</v>
      </c>
      <c r="D49" s="105">
        <f>+COMPRAS!D308</f>
        <v>73.540000000000006</v>
      </c>
      <c r="E49" s="106">
        <f>+COMPRAS!H308</f>
        <v>3.15</v>
      </c>
      <c r="F49" s="106">
        <f t="shared" si="19"/>
        <v>231.65100000000001</v>
      </c>
      <c r="G49" s="105"/>
      <c r="H49" s="105"/>
      <c r="I49" s="105"/>
      <c r="J49" s="105">
        <f t="shared" si="20"/>
        <v>441.24000000000007</v>
      </c>
      <c r="K49" s="106">
        <f t="shared" si="7"/>
        <v>3.15</v>
      </c>
      <c r="L49" s="106">
        <f t="shared" si="21"/>
        <v>1389.9060000000002</v>
      </c>
      <c r="M49" s="177"/>
    </row>
    <row r="50" spans="1:13" x14ac:dyDescent="0.25">
      <c r="A50" s="174"/>
      <c r="B50" s="176"/>
      <c r="C50" s="105" t="str">
        <f>+COMPRAS!G309</f>
        <v>pino natural procesado con ceja der</v>
      </c>
      <c r="D50" s="105">
        <f>+COMPRAS!D309</f>
        <v>29</v>
      </c>
      <c r="E50" s="106">
        <f>+COMPRAS!H309</f>
        <v>1.25</v>
      </c>
      <c r="F50" s="106">
        <f t="shared" si="19"/>
        <v>36.25</v>
      </c>
      <c r="G50" s="105"/>
      <c r="H50" s="105"/>
      <c r="I50" s="105"/>
      <c r="J50" s="105">
        <f t="shared" si="20"/>
        <v>174</v>
      </c>
      <c r="K50" s="106">
        <f t="shared" si="7"/>
        <v>1.25</v>
      </c>
      <c r="L50" s="106">
        <f t="shared" si="21"/>
        <v>217.5</v>
      </c>
      <c r="M50" s="177"/>
    </row>
    <row r="51" spans="1:13" x14ac:dyDescent="0.25">
      <c r="A51" s="178">
        <f>+COMPRAS!C662</f>
        <v>43504</v>
      </c>
      <c r="B51" s="180" t="str">
        <f>+CONCATENATE(COMPRAS!C652," ",COMPRAS!C663,"-",COMPRAS!C664,"-",COMPRAS!C665)</f>
        <v>FACTURA COMPRA # 25 001-001-120</v>
      </c>
      <c r="C51" s="107" t="str">
        <f>+COMPRAS!G655</f>
        <v>ACEITE DE VASELINA GL.QF</v>
      </c>
      <c r="D51" s="107">
        <f>+COMPRAS!D655</f>
        <v>61</v>
      </c>
      <c r="E51" s="108">
        <f>+COMPRAS!H655</f>
        <v>1.45</v>
      </c>
      <c r="F51" s="108">
        <f t="shared" si="19"/>
        <v>88.45</v>
      </c>
      <c r="G51" s="107"/>
      <c r="H51" s="107"/>
      <c r="I51" s="107"/>
      <c r="J51" s="107">
        <f>+J35+D51</f>
        <v>427</v>
      </c>
      <c r="K51" s="108">
        <f>+L51/J51</f>
        <v>1.4500000000000002</v>
      </c>
      <c r="L51" s="108">
        <f>+L35+F51</f>
        <v>619.15000000000009</v>
      </c>
      <c r="M51" s="177" t="s">
        <v>329</v>
      </c>
    </row>
    <row r="52" spans="1:13" x14ac:dyDescent="0.25">
      <c r="A52" s="179"/>
      <c r="B52" s="181"/>
      <c r="C52" s="107" t="str">
        <f>+COMPRAS!G656</f>
        <v>Bastidor</v>
      </c>
      <c r="D52" s="107">
        <f>+COMPRAS!D656</f>
        <v>56.21</v>
      </c>
      <c r="E52" s="108">
        <f>+COMPRAS!H656</f>
        <v>2.96</v>
      </c>
      <c r="F52" s="108">
        <f t="shared" ref="F52:F58" si="22">+D52*E52</f>
        <v>166.38159999999999</v>
      </c>
      <c r="G52" s="107"/>
      <c r="H52" s="107"/>
      <c r="I52" s="107"/>
      <c r="J52" s="107">
        <f t="shared" ref="J52:J54" si="23">+J36+D52</f>
        <v>393.46999999999997</v>
      </c>
      <c r="K52" s="108">
        <f t="shared" ref="K52:K66" si="24">+L52/J52</f>
        <v>2.9599999999999995</v>
      </c>
      <c r="L52" s="108">
        <f t="shared" ref="L52:L54" si="25">+L36+F52</f>
        <v>1164.6711999999998</v>
      </c>
      <c r="M52" s="177"/>
    </row>
    <row r="53" spans="1:13" x14ac:dyDescent="0.25">
      <c r="A53" s="179"/>
      <c r="B53" s="181"/>
      <c r="C53" s="107" t="str">
        <f>+COMPRAS!G657</f>
        <v>Tira  Color Dorado Con Filos Negros De 7.5 Ancho</v>
      </c>
      <c r="D53" s="107">
        <f>+COMPRAS!D657</f>
        <v>49</v>
      </c>
      <c r="E53" s="108">
        <f>+COMPRAS!H657</f>
        <v>3.15</v>
      </c>
      <c r="F53" s="108">
        <f t="shared" si="22"/>
        <v>154.35</v>
      </c>
      <c r="G53" s="107"/>
      <c r="H53" s="107"/>
      <c r="I53" s="107"/>
      <c r="J53" s="107">
        <f t="shared" si="23"/>
        <v>343</v>
      </c>
      <c r="K53" s="108">
        <f t="shared" si="24"/>
        <v>3.3214285714285716</v>
      </c>
      <c r="L53" s="108">
        <f t="shared" si="25"/>
        <v>1139.25</v>
      </c>
      <c r="M53" s="177"/>
    </row>
    <row r="54" spans="1:13" x14ac:dyDescent="0.25">
      <c r="A54" s="179"/>
      <c r="B54" s="181"/>
      <c r="C54" s="107" t="str">
        <f>+COMPRAS!G658</f>
        <v>Blanca Estucada Semimate</v>
      </c>
      <c r="D54" s="107">
        <f>+COMPRAS!D658</f>
        <v>12.2</v>
      </c>
      <c r="E54" s="108">
        <f>+COMPRAS!H658</f>
        <v>1.25</v>
      </c>
      <c r="F54" s="108">
        <f t="shared" si="22"/>
        <v>15.25</v>
      </c>
      <c r="G54" s="107"/>
      <c r="H54" s="107"/>
      <c r="I54" s="107"/>
      <c r="J54" s="107">
        <f t="shared" si="23"/>
        <v>85.4</v>
      </c>
      <c r="K54" s="108">
        <f t="shared" si="24"/>
        <v>1.25</v>
      </c>
      <c r="L54" s="108">
        <f t="shared" si="25"/>
        <v>106.75</v>
      </c>
      <c r="M54" s="177"/>
    </row>
    <row r="55" spans="1:13" x14ac:dyDescent="0.25">
      <c r="A55" s="173">
        <f>+COMPRAS!C690</f>
        <v>43504</v>
      </c>
      <c r="B55" s="175" t="str">
        <f>+CONCATENATE(COMPRAS!C680," ",COMPRAS!C691,"-",COMPRAS!C692,"-",COMPRAS!C693)</f>
        <v>FACTURA COMPRA # 26 001-001-121</v>
      </c>
      <c r="C55" s="105" t="str">
        <f>+COMPRAS!G683</f>
        <v>ACEITE DE VASELINA GL.QF</v>
      </c>
      <c r="D55" s="105">
        <f>+COMPRAS!D683</f>
        <v>61</v>
      </c>
      <c r="E55" s="106">
        <f>+COMPRAS!H683</f>
        <v>1.45</v>
      </c>
      <c r="F55" s="106">
        <f t="shared" si="22"/>
        <v>88.45</v>
      </c>
      <c r="G55" s="105"/>
      <c r="H55" s="105"/>
      <c r="I55" s="105"/>
      <c r="J55" s="105">
        <f>+J51+D55</f>
        <v>488</v>
      </c>
      <c r="K55" s="106">
        <f t="shared" si="24"/>
        <v>1.4500000000000002</v>
      </c>
      <c r="L55" s="106">
        <f>+L51+F55</f>
        <v>707.60000000000014</v>
      </c>
      <c r="M55" s="177" t="s">
        <v>329</v>
      </c>
    </row>
    <row r="56" spans="1:13" x14ac:dyDescent="0.25">
      <c r="A56" s="174"/>
      <c r="B56" s="176"/>
      <c r="C56" s="105" t="str">
        <f>+COMPRAS!G684</f>
        <v>Bastidor</v>
      </c>
      <c r="D56" s="105">
        <f>+COMPRAS!D684</f>
        <v>56.21</v>
      </c>
      <c r="E56" s="106">
        <f>+COMPRAS!H684</f>
        <v>2.96</v>
      </c>
      <c r="F56" s="106">
        <f t="shared" ref="F56:F62" si="26">+D56*E56</f>
        <v>166.38159999999999</v>
      </c>
      <c r="G56" s="105"/>
      <c r="H56" s="105"/>
      <c r="I56" s="105"/>
      <c r="J56" s="105">
        <f t="shared" ref="J56:J58" si="27">+J52+D56</f>
        <v>449.67999999999995</v>
      </c>
      <c r="K56" s="106">
        <f t="shared" si="24"/>
        <v>2.9599999999999995</v>
      </c>
      <c r="L56" s="106">
        <f t="shared" ref="L56:L58" si="28">+L52+F56</f>
        <v>1331.0527999999997</v>
      </c>
      <c r="M56" s="177"/>
    </row>
    <row r="57" spans="1:13" x14ac:dyDescent="0.25">
      <c r="A57" s="174"/>
      <c r="B57" s="176"/>
      <c r="C57" s="105" t="str">
        <f>+COMPRAS!G685</f>
        <v>Tira  Color Dorado Con Filos Negros De 7.5 Ancho</v>
      </c>
      <c r="D57" s="105">
        <f>+COMPRAS!D685</f>
        <v>49</v>
      </c>
      <c r="E57" s="106">
        <f>+COMPRAS!H685</f>
        <v>3.15</v>
      </c>
      <c r="F57" s="106">
        <f t="shared" si="26"/>
        <v>154.35</v>
      </c>
      <c r="G57" s="105"/>
      <c r="H57" s="105"/>
      <c r="I57" s="105"/>
      <c r="J57" s="105">
        <f t="shared" si="27"/>
        <v>392</v>
      </c>
      <c r="K57" s="106">
        <f t="shared" si="24"/>
        <v>3.3</v>
      </c>
      <c r="L57" s="106">
        <f t="shared" si="28"/>
        <v>1293.5999999999999</v>
      </c>
      <c r="M57" s="177"/>
    </row>
    <row r="58" spans="1:13" x14ac:dyDescent="0.25">
      <c r="A58" s="174"/>
      <c r="B58" s="176"/>
      <c r="C58" s="105" t="str">
        <f>+COMPRAS!G686</f>
        <v>Blanca Estucada Semimate</v>
      </c>
      <c r="D58" s="105">
        <f>+COMPRAS!D686</f>
        <v>12.2</v>
      </c>
      <c r="E58" s="106">
        <f>+COMPRAS!H686</f>
        <v>1.25</v>
      </c>
      <c r="F58" s="106">
        <f t="shared" si="26"/>
        <v>15.25</v>
      </c>
      <c r="G58" s="105"/>
      <c r="H58" s="105"/>
      <c r="I58" s="105"/>
      <c r="J58" s="105">
        <f t="shared" si="27"/>
        <v>97.600000000000009</v>
      </c>
      <c r="K58" s="106">
        <f t="shared" si="24"/>
        <v>1.25</v>
      </c>
      <c r="L58" s="106">
        <f t="shared" si="28"/>
        <v>122</v>
      </c>
      <c r="M58" s="177"/>
    </row>
    <row r="59" spans="1:13" x14ac:dyDescent="0.25">
      <c r="A59" s="178">
        <f>+COMPRAS!C718</f>
        <v>43504</v>
      </c>
      <c r="B59" s="180" t="str">
        <f>+CONCATENATE(COMPRAS!C708," ",COMPRAS!C719,"-",COMPRAS!C720,"-",COMPRAS!C721)</f>
        <v>FACTURA COMPRA # 27 001-001-122</v>
      </c>
      <c r="C59" s="107" t="str">
        <f>+COMPRAS!G711</f>
        <v>ACEITE DE VASELINA GL.QF</v>
      </c>
      <c r="D59" s="107">
        <f>+COMPRAS!D711</f>
        <v>61</v>
      </c>
      <c r="E59" s="108">
        <f>+COMPRAS!H711</f>
        <v>1.45</v>
      </c>
      <c r="F59" s="108">
        <f t="shared" si="26"/>
        <v>88.45</v>
      </c>
      <c r="G59" s="107"/>
      <c r="H59" s="107"/>
      <c r="I59" s="107"/>
      <c r="J59" s="107">
        <f>+J55+D59</f>
        <v>549</v>
      </c>
      <c r="K59" s="108">
        <f>+L59/J59</f>
        <v>1.4500000000000004</v>
      </c>
      <c r="L59" s="108">
        <f>+L55+F59</f>
        <v>796.05000000000018</v>
      </c>
      <c r="M59" s="177" t="s">
        <v>329</v>
      </c>
    </row>
    <row r="60" spans="1:13" x14ac:dyDescent="0.25">
      <c r="A60" s="179"/>
      <c r="B60" s="181"/>
      <c r="C60" s="107" t="str">
        <f>+COMPRAS!G712</f>
        <v>Bastidor</v>
      </c>
      <c r="D60" s="107">
        <f>+COMPRAS!D712</f>
        <v>56.21</v>
      </c>
      <c r="E60" s="108">
        <f>+COMPRAS!H712</f>
        <v>2.96</v>
      </c>
      <c r="F60" s="108">
        <f t="shared" ref="F60:F66" si="29">+D60*E60</f>
        <v>166.38159999999999</v>
      </c>
      <c r="G60" s="107"/>
      <c r="H60" s="107"/>
      <c r="I60" s="107"/>
      <c r="J60" s="107">
        <f t="shared" ref="J60:J62" si="30">+J56+D60</f>
        <v>505.88999999999993</v>
      </c>
      <c r="K60" s="108">
        <f t="shared" ref="K60:K62" si="31">+L60/J60</f>
        <v>2.9599999999999995</v>
      </c>
      <c r="L60" s="108">
        <f t="shared" ref="L60:L62" si="32">+L56+F60</f>
        <v>1497.4343999999996</v>
      </c>
      <c r="M60" s="177"/>
    </row>
    <row r="61" spans="1:13" x14ac:dyDescent="0.25">
      <c r="A61" s="179"/>
      <c r="B61" s="181"/>
      <c r="C61" s="107" t="str">
        <f>+COMPRAS!G713</f>
        <v>Tira  Color Dorado Con Filos Negros De 7.5 Ancho</v>
      </c>
      <c r="D61" s="107">
        <f>+COMPRAS!D713</f>
        <v>49</v>
      </c>
      <c r="E61" s="108">
        <f>+COMPRAS!H713</f>
        <v>3.15</v>
      </c>
      <c r="F61" s="108">
        <f t="shared" si="29"/>
        <v>154.35</v>
      </c>
      <c r="G61" s="107"/>
      <c r="H61" s="107"/>
      <c r="I61" s="107"/>
      <c r="J61" s="107">
        <f t="shared" si="30"/>
        <v>441</v>
      </c>
      <c r="K61" s="108">
        <f t="shared" si="31"/>
        <v>3.2833333333333328</v>
      </c>
      <c r="L61" s="108">
        <f t="shared" si="32"/>
        <v>1447.9499999999998</v>
      </c>
      <c r="M61" s="177"/>
    </row>
    <row r="62" spans="1:13" x14ac:dyDescent="0.25">
      <c r="A62" s="179"/>
      <c r="B62" s="181"/>
      <c r="C62" s="107" t="str">
        <f>+COMPRAS!G714</f>
        <v>Blanca Estucada Semimate</v>
      </c>
      <c r="D62" s="107">
        <f>+COMPRAS!D714</f>
        <v>12.2</v>
      </c>
      <c r="E62" s="108">
        <f>+COMPRAS!H714</f>
        <v>1.25</v>
      </c>
      <c r="F62" s="108">
        <f t="shared" si="29"/>
        <v>15.25</v>
      </c>
      <c r="G62" s="107"/>
      <c r="H62" s="107"/>
      <c r="I62" s="107"/>
      <c r="J62" s="107">
        <f t="shared" si="30"/>
        <v>109.80000000000001</v>
      </c>
      <c r="K62" s="108">
        <f t="shared" si="31"/>
        <v>1.2499999999999998</v>
      </c>
      <c r="L62" s="108">
        <f t="shared" si="32"/>
        <v>137.25</v>
      </c>
      <c r="M62" s="177"/>
    </row>
    <row r="63" spans="1:13" x14ac:dyDescent="0.25">
      <c r="A63" s="173">
        <f>+COMPRAS!C746</f>
        <v>43505</v>
      </c>
      <c r="B63" s="175" t="str">
        <f>+CONCATENATE(COMPRAS!C736," ",COMPRAS!C747,"-",COMPRAS!C748,"-",COMPRAS!C749)</f>
        <v>FACTURA COMPRA # 28 001-001-123</v>
      </c>
      <c r="C63" s="105" t="str">
        <f>+COMPRAS!G739</f>
        <v>Azúl Con Dorado</v>
      </c>
      <c r="D63" s="105">
        <f>+COMPRAS!D739</f>
        <v>118.47</v>
      </c>
      <c r="E63" s="106">
        <f>+COMPRAS!H739</f>
        <v>1.47</v>
      </c>
      <c r="F63" s="106">
        <f t="shared" si="29"/>
        <v>174.15090000000001</v>
      </c>
      <c r="G63" s="105"/>
      <c r="H63" s="105"/>
      <c r="I63" s="105"/>
      <c r="J63" s="105">
        <f>+J47+D63</f>
        <v>829.29000000000008</v>
      </c>
      <c r="K63" s="106">
        <f t="shared" si="24"/>
        <v>1.4700000000000002</v>
      </c>
      <c r="L63" s="106">
        <f>+L47+F63</f>
        <v>1219.0563000000002</v>
      </c>
      <c r="M63" s="177" t="s">
        <v>329</v>
      </c>
    </row>
    <row r="64" spans="1:13" x14ac:dyDescent="0.25">
      <c r="A64" s="174"/>
      <c r="B64" s="176"/>
      <c r="C64" s="105" t="str">
        <f>+COMPRAS!G740</f>
        <v>pino natural procesado con ceja izq</v>
      </c>
      <c r="D64" s="105">
        <f>+COMPRAS!D740</f>
        <v>249.58</v>
      </c>
      <c r="E64" s="106">
        <f>+COMPRAS!H740</f>
        <v>2.96</v>
      </c>
      <c r="F64" s="106">
        <f t="shared" ref="F64:F70" si="33">+D64*E64</f>
        <v>738.7568</v>
      </c>
      <c r="G64" s="105"/>
      <c r="H64" s="105"/>
      <c r="I64" s="105"/>
      <c r="J64" s="105">
        <f t="shared" ref="J64:J66" si="34">+J48+D64</f>
        <v>1747.06</v>
      </c>
      <c r="K64" s="106">
        <f t="shared" si="24"/>
        <v>2.96</v>
      </c>
      <c r="L64" s="106">
        <f t="shared" ref="L64:L66" si="35">+L48+F64</f>
        <v>5171.2975999999999</v>
      </c>
      <c r="M64" s="177"/>
    </row>
    <row r="65" spans="1:13" x14ac:dyDescent="0.25">
      <c r="A65" s="174"/>
      <c r="B65" s="176"/>
      <c r="C65" s="105" t="str">
        <f>+COMPRAS!G741</f>
        <v>pino natural peq. Procesado ceja</v>
      </c>
      <c r="D65" s="105">
        <f>+COMPRAS!D741</f>
        <v>73.540000000000006</v>
      </c>
      <c r="E65" s="106">
        <f>+COMPRAS!H741</f>
        <v>3.15</v>
      </c>
      <c r="F65" s="106">
        <f t="shared" si="33"/>
        <v>231.65100000000001</v>
      </c>
      <c r="G65" s="105"/>
      <c r="H65" s="105"/>
      <c r="I65" s="105"/>
      <c r="J65" s="105">
        <f t="shared" si="34"/>
        <v>514.78000000000009</v>
      </c>
      <c r="K65" s="106">
        <f t="shared" si="24"/>
        <v>3.15</v>
      </c>
      <c r="L65" s="106">
        <f t="shared" si="35"/>
        <v>1621.5570000000002</v>
      </c>
      <c r="M65" s="177"/>
    </row>
    <row r="66" spans="1:13" x14ac:dyDescent="0.25">
      <c r="A66" s="174"/>
      <c r="B66" s="176"/>
      <c r="C66" s="105" t="str">
        <f>+COMPRAS!G742</f>
        <v>pino natural procesado con ceja der</v>
      </c>
      <c r="D66" s="105">
        <f>+COMPRAS!D742</f>
        <v>29</v>
      </c>
      <c r="E66" s="106">
        <f>+COMPRAS!H742</f>
        <v>1.25</v>
      </c>
      <c r="F66" s="106">
        <f t="shared" si="33"/>
        <v>36.25</v>
      </c>
      <c r="G66" s="105"/>
      <c r="H66" s="105"/>
      <c r="I66" s="105"/>
      <c r="J66" s="105">
        <f t="shared" si="34"/>
        <v>203</v>
      </c>
      <c r="K66" s="106">
        <f t="shared" si="24"/>
        <v>1.25</v>
      </c>
      <c r="L66" s="106">
        <f t="shared" si="35"/>
        <v>253.75</v>
      </c>
      <c r="M66" s="177"/>
    </row>
    <row r="67" spans="1:13" x14ac:dyDescent="0.25">
      <c r="A67" s="178">
        <f>+COMPRAS!C774</f>
        <v>43505</v>
      </c>
      <c r="B67" s="180" t="str">
        <f>+CONCATENATE(COMPRAS!C764," ",COMPRAS!C775,"-",COMPRAS!C776,"-",COMPRAS!C777)</f>
        <v>FACTURA COMPRA # 29 001-001-124</v>
      </c>
      <c r="C67" s="107" t="str">
        <f>+COMPRAS!G767</f>
        <v>Azúl Con Dorado</v>
      </c>
      <c r="D67" s="107">
        <f>+COMPRAS!D767</f>
        <v>118.47</v>
      </c>
      <c r="E67" s="108">
        <f>+COMPRAS!H767</f>
        <v>1.47</v>
      </c>
      <c r="F67" s="108">
        <f t="shared" si="33"/>
        <v>174.15090000000001</v>
      </c>
      <c r="G67" s="107"/>
      <c r="H67" s="107"/>
      <c r="I67" s="107"/>
      <c r="J67" s="107">
        <f>+J63+D67</f>
        <v>947.7600000000001</v>
      </c>
      <c r="K67" s="108">
        <f>+L67/J67</f>
        <v>1.4700000000000002</v>
      </c>
      <c r="L67" s="108">
        <f>+L63+F67</f>
        <v>1393.2072000000003</v>
      </c>
      <c r="M67" s="177" t="s">
        <v>329</v>
      </c>
    </row>
    <row r="68" spans="1:13" x14ac:dyDescent="0.25">
      <c r="A68" s="179"/>
      <c r="B68" s="181"/>
      <c r="C68" s="107" t="str">
        <f>+COMPRAS!G768</f>
        <v>pino natural procesado con ceja izq</v>
      </c>
      <c r="D68" s="107">
        <f>+COMPRAS!D768</f>
        <v>249.58</v>
      </c>
      <c r="E68" s="108">
        <f>+COMPRAS!H768</f>
        <v>2.96</v>
      </c>
      <c r="F68" s="108">
        <f t="shared" ref="F68:F74" si="36">+D68*E68</f>
        <v>738.7568</v>
      </c>
      <c r="G68" s="107"/>
      <c r="H68" s="107"/>
      <c r="I68" s="107"/>
      <c r="J68" s="107">
        <f t="shared" ref="J68:J70" si="37">+J64+D68</f>
        <v>1996.6399999999999</v>
      </c>
      <c r="K68" s="108">
        <f t="shared" ref="K68:K82" si="38">+L68/J68</f>
        <v>2.96</v>
      </c>
      <c r="L68" s="108">
        <f t="shared" ref="L68:L70" si="39">+L64+F68</f>
        <v>5910.0544</v>
      </c>
      <c r="M68" s="177"/>
    </row>
    <row r="69" spans="1:13" x14ac:dyDescent="0.25">
      <c r="A69" s="179"/>
      <c r="B69" s="181"/>
      <c r="C69" s="107" t="str">
        <f>+COMPRAS!G769</f>
        <v>pino natural peq. Procesado ceja</v>
      </c>
      <c r="D69" s="107">
        <f>+COMPRAS!D769</f>
        <v>73.540000000000006</v>
      </c>
      <c r="E69" s="108">
        <f>+COMPRAS!H769</f>
        <v>3.15</v>
      </c>
      <c r="F69" s="108">
        <f t="shared" si="36"/>
        <v>231.65100000000001</v>
      </c>
      <c r="G69" s="107"/>
      <c r="H69" s="107"/>
      <c r="I69" s="107"/>
      <c r="J69" s="107">
        <f t="shared" si="37"/>
        <v>588.32000000000005</v>
      </c>
      <c r="K69" s="108">
        <f t="shared" si="38"/>
        <v>3.1500000000000004</v>
      </c>
      <c r="L69" s="108">
        <f t="shared" si="39"/>
        <v>1853.2080000000003</v>
      </c>
      <c r="M69" s="177"/>
    </row>
    <row r="70" spans="1:13" x14ac:dyDescent="0.25">
      <c r="A70" s="179"/>
      <c r="B70" s="181"/>
      <c r="C70" s="107" t="str">
        <f>+COMPRAS!G770</f>
        <v>pino natural procesado con ceja der</v>
      </c>
      <c r="D70" s="107">
        <f>+COMPRAS!D770</f>
        <v>29</v>
      </c>
      <c r="E70" s="108">
        <f>+COMPRAS!H770</f>
        <v>1.25</v>
      </c>
      <c r="F70" s="108">
        <f t="shared" si="36"/>
        <v>36.25</v>
      </c>
      <c r="G70" s="107"/>
      <c r="H70" s="107"/>
      <c r="I70" s="107"/>
      <c r="J70" s="107">
        <f t="shared" si="37"/>
        <v>232</v>
      </c>
      <c r="K70" s="108">
        <f t="shared" si="38"/>
        <v>1.25</v>
      </c>
      <c r="L70" s="108">
        <f t="shared" si="39"/>
        <v>290</v>
      </c>
      <c r="M70" s="177"/>
    </row>
    <row r="71" spans="1:13" x14ac:dyDescent="0.25">
      <c r="A71" s="173">
        <f>+COMPRAS!C807</f>
        <v>43505</v>
      </c>
      <c r="B71" s="175" t="str">
        <f>+CONCATENATE(COMPRAS!C797," ",COMPRAS!C808,"-",COMPRAS!C809,"-",COMPRAS!C810)</f>
        <v>FACTURA COMPRA # 30 001-001-125</v>
      </c>
      <c r="C71" s="105" t="str">
        <f>+COMPRAS!G800</f>
        <v>Azúl Con Dorado</v>
      </c>
      <c r="D71" s="105">
        <f>+COMPRAS!D800</f>
        <v>118.47</v>
      </c>
      <c r="E71" s="106">
        <f>+COMPRAS!H800</f>
        <v>1.47</v>
      </c>
      <c r="F71" s="106">
        <f t="shared" si="36"/>
        <v>174.15090000000001</v>
      </c>
      <c r="G71" s="105"/>
      <c r="H71" s="105"/>
      <c r="I71" s="105"/>
      <c r="J71" s="105">
        <f>+J67+D71</f>
        <v>1066.23</v>
      </c>
      <c r="K71" s="106">
        <f t="shared" si="38"/>
        <v>1.4700000000000004</v>
      </c>
      <c r="L71" s="106">
        <f>+L67+F71</f>
        <v>1567.3581000000004</v>
      </c>
      <c r="M71" s="177" t="s">
        <v>329</v>
      </c>
    </row>
    <row r="72" spans="1:13" x14ac:dyDescent="0.25">
      <c r="A72" s="174"/>
      <c r="B72" s="176"/>
      <c r="C72" s="105" t="str">
        <f>+COMPRAS!G801</f>
        <v>pino natural procesado con ceja izq</v>
      </c>
      <c r="D72" s="105">
        <f>+COMPRAS!D801</f>
        <v>249.58</v>
      </c>
      <c r="E72" s="106">
        <f>+COMPRAS!H801</f>
        <v>2.96</v>
      </c>
      <c r="F72" s="106">
        <f t="shared" ref="F72:F78" si="40">+D72*E72</f>
        <v>738.7568</v>
      </c>
      <c r="G72" s="105"/>
      <c r="H72" s="105"/>
      <c r="I72" s="105"/>
      <c r="J72" s="105">
        <f t="shared" ref="J72:J74" si="41">+J68+D72</f>
        <v>2246.2199999999998</v>
      </c>
      <c r="K72" s="106">
        <f t="shared" si="38"/>
        <v>2.9600000000000004</v>
      </c>
      <c r="L72" s="106">
        <f t="shared" ref="L72:L74" si="42">+L68+F72</f>
        <v>6648.8112000000001</v>
      </c>
      <c r="M72" s="177"/>
    </row>
    <row r="73" spans="1:13" x14ac:dyDescent="0.25">
      <c r="A73" s="174"/>
      <c r="B73" s="176"/>
      <c r="C73" s="105" t="str">
        <f>+COMPRAS!G802</f>
        <v>pino natural peq. Procesado ceja</v>
      </c>
      <c r="D73" s="105">
        <f>+COMPRAS!D802</f>
        <v>73.540000000000006</v>
      </c>
      <c r="E73" s="106">
        <f>+COMPRAS!H802</f>
        <v>3.15</v>
      </c>
      <c r="F73" s="106">
        <f t="shared" si="40"/>
        <v>231.65100000000001</v>
      </c>
      <c r="G73" s="105"/>
      <c r="H73" s="105"/>
      <c r="I73" s="105"/>
      <c r="J73" s="105">
        <f t="shared" si="41"/>
        <v>661.86</v>
      </c>
      <c r="K73" s="106">
        <f t="shared" si="38"/>
        <v>3.1500000000000004</v>
      </c>
      <c r="L73" s="106">
        <f t="shared" si="42"/>
        <v>2084.8590000000004</v>
      </c>
      <c r="M73" s="177"/>
    </row>
    <row r="74" spans="1:13" x14ac:dyDescent="0.25">
      <c r="A74" s="174"/>
      <c r="B74" s="176"/>
      <c r="C74" s="105" t="str">
        <f>+COMPRAS!G803</f>
        <v>pino natural procesado con ceja der</v>
      </c>
      <c r="D74" s="105">
        <f>+COMPRAS!D803</f>
        <v>29</v>
      </c>
      <c r="E74" s="106">
        <f>+COMPRAS!H803</f>
        <v>1.25</v>
      </c>
      <c r="F74" s="106">
        <f t="shared" si="40"/>
        <v>36.25</v>
      </c>
      <c r="G74" s="105"/>
      <c r="H74" s="105"/>
      <c r="I74" s="105"/>
      <c r="J74" s="105">
        <f t="shared" si="41"/>
        <v>261</v>
      </c>
      <c r="K74" s="106">
        <f t="shared" si="38"/>
        <v>1.25</v>
      </c>
      <c r="L74" s="106">
        <f t="shared" si="42"/>
        <v>326.25</v>
      </c>
      <c r="M74" s="177"/>
    </row>
    <row r="75" spans="1:13" x14ac:dyDescent="0.25">
      <c r="A75" s="178">
        <f>+COMPRAS!C838</f>
        <v>43510</v>
      </c>
      <c r="B75" s="180" t="str">
        <f>+CONCATENATE(COMPRAS!C828," ",COMPRAS!C839,"-",COMPRAS!C840,"-",COMPRAS!C841)</f>
        <v>FACTURA COMPRA # 31 002-902-000220795</v>
      </c>
      <c r="C75" s="107" t="str">
        <f>+COMPRAS!G831</f>
        <v>Resistencia duchas 5 12v / gasto febrero mantenimiento</v>
      </c>
      <c r="D75" s="107">
        <f>+COMPRAS!D831</f>
        <v>1</v>
      </c>
      <c r="E75" s="108">
        <f>+COMPRAS!H831</f>
        <v>5.89</v>
      </c>
      <c r="F75" s="108">
        <f t="shared" si="40"/>
        <v>5.89</v>
      </c>
      <c r="G75" s="107"/>
      <c r="H75" s="107"/>
      <c r="I75" s="107"/>
      <c r="J75" s="107">
        <f>+J59+D75</f>
        <v>550</v>
      </c>
      <c r="K75" s="108">
        <f>+L75/J75</f>
        <v>1.4580727272727276</v>
      </c>
      <c r="L75" s="108">
        <f>+L59+F75</f>
        <v>801.94000000000017</v>
      </c>
      <c r="M75" s="177" t="s">
        <v>329</v>
      </c>
    </row>
    <row r="76" spans="1:13" x14ac:dyDescent="0.25">
      <c r="A76" s="179"/>
      <c r="B76" s="181"/>
      <c r="C76" s="107" t="str">
        <f>+COMPRAS!G832</f>
        <v>Identificador Circular / gasto febrero mantenimiento</v>
      </c>
      <c r="D76" s="107">
        <f>+COMPRAS!D832</f>
        <v>19</v>
      </c>
      <c r="E76" s="108">
        <f>+COMPRAS!H832</f>
        <v>0.28571400000000002</v>
      </c>
      <c r="F76" s="108">
        <f t="shared" ref="F76:F82" si="43">+D76*E76</f>
        <v>5.428566</v>
      </c>
      <c r="G76" s="107"/>
      <c r="H76" s="107"/>
      <c r="I76" s="107"/>
      <c r="J76" s="107">
        <f t="shared" ref="J76:J78" si="44">+J60+D76</f>
        <v>524.88999999999987</v>
      </c>
      <c r="K76" s="108">
        <f t="shared" ref="K76:K78" si="45">+L76/J76</f>
        <v>2.8631960334546287</v>
      </c>
      <c r="L76" s="108">
        <f t="shared" ref="L76:L78" si="46">+L60+F76</f>
        <v>1502.8629659999997</v>
      </c>
      <c r="M76" s="177"/>
    </row>
    <row r="77" spans="1:13" x14ac:dyDescent="0.25">
      <c r="A77" s="179"/>
      <c r="B77" s="181"/>
      <c r="C77" s="107" t="str">
        <f>+COMPRAS!G833</f>
        <v>Aro p 1-1/2  / gasto febrero mantenimiento</v>
      </c>
      <c r="D77" s="107">
        <f>+COMPRAS!D833</f>
        <v>2</v>
      </c>
      <c r="E77" s="108">
        <f>+COMPRAS!H833</f>
        <v>1.3838999999999999</v>
      </c>
      <c r="F77" s="108">
        <f t="shared" si="43"/>
        <v>2.7677999999999998</v>
      </c>
      <c r="G77" s="107"/>
      <c r="H77" s="107"/>
      <c r="I77" s="107"/>
      <c r="J77" s="107">
        <f t="shared" si="44"/>
        <v>443</v>
      </c>
      <c r="K77" s="108">
        <f t="shared" si="45"/>
        <v>3.2747580135440177</v>
      </c>
      <c r="L77" s="108">
        <f t="shared" si="46"/>
        <v>1450.7177999999999</v>
      </c>
      <c r="M77" s="177"/>
    </row>
    <row r="78" spans="1:13" x14ac:dyDescent="0.25">
      <c r="A78" s="179"/>
      <c r="B78" s="181"/>
      <c r="C78" s="107">
        <f>+COMPRAS!G834</f>
        <v>0</v>
      </c>
      <c r="D78" s="107">
        <f>+COMPRAS!D834</f>
        <v>0</v>
      </c>
      <c r="E78" s="108">
        <f>+COMPRAS!H834</f>
        <v>0</v>
      </c>
      <c r="F78" s="108">
        <f t="shared" si="43"/>
        <v>0</v>
      </c>
      <c r="G78" s="107"/>
      <c r="H78" s="107"/>
      <c r="I78" s="107"/>
      <c r="J78" s="107">
        <f t="shared" si="44"/>
        <v>109.80000000000001</v>
      </c>
      <c r="K78" s="108">
        <f t="shared" si="45"/>
        <v>1.2499999999999998</v>
      </c>
      <c r="L78" s="108">
        <f t="shared" si="46"/>
        <v>137.25</v>
      </c>
      <c r="M78" s="177"/>
    </row>
    <row r="79" spans="1:13" x14ac:dyDescent="0.25">
      <c r="A79" s="173">
        <f>+COMPRAS!C861</f>
        <v>43510</v>
      </c>
      <c r="B79" s="175" t="str">
        <f>+CONCATENATE(COMPRAS!C851," ",COMPRAS!C862,"-",COMPRAS!C863,"-",COMPRAS!C864)</f>
        <v>FACTURA COMPRA # 32 001-001-127</v>
      </c>
      <c r="C79" s="105" t="str">
        <f>+COMPRAS!G854</f>
        <v>ACEITE DE VASELINA GL.QF</v>
      </c>
      <c r="D79" s="105">
        <f>+COMPRAS!D854</f>
        <v>61</v>
      </c>
      <c r="E79" s="106">
        <f>+COMPRAS!H854</f>
        <v>1.45</v>
      </c>
      <c r="F79" s="106">
        <f t="shared" si="43"/>
        <v>88.45</v>
      </c>
      <c r="G79" s="105"/>
      <c r="H79" s="105"/>
      <c r="I79" s="105"/>
      <c r="J79" s="105">
        <f>+J75+D79</f>
        <v>611</v>
      </c>
      <c r="K79" s="106">
        <f t="shared" si="38"/>
        <v>1.4572667757774145</v>
      </c>
      <c r="L79" s="106">
        <f>+L75+F79</f>
        <v>890.39000000000021</v>
      </c>
      <c r="M79" s="177" t="s">
        <v>329</v>
      </c>
    </row>
    <row r="80" spans="1:13" x14ac:dyDescent="0.25">
      <c r="A80" s="174"/>
      <c r="B80" s="176"/>
      <c r="C80" s="105" t="str">
        <f>+COMPRAS!G855</f>
        <v>Bastidor</v>
      </c>
      <c r="D80" s="105">
        <f>+COMPRAS!D855</f>
        <v>56.21</v>
      </c>
      <c r="E80" s="106">
        <f>+COMPRAS!H855</f>
        <v>2.96</v>
      </c>
      <c r="F80" s="106">
        <f t="shared" ref="F80:F86" si="47">+D80*E80</f>
        <v>166.38159999999999</v>
      </c>
      <c r="G80" s="105"/>
      <c r="H80" s="105"/>
      <c r="I80" s="105"/>
      <c r="J80" s="105">
        <f t="shared" ref="J80:J82" si="48">+J76+D80</f>
        <v>581.09999999999991</v>
      </c>
      <c r="K80" s="106">
        <f t="shared" si="38"/>
        <v>2.8725599139562896</v>
      </c>
      <c r="L80" s="106">
        <f t="shared" ref="L80:L82" si="49">+L76+F80</f>
        <v>1669.2445659999996</v>
      </c>
      <c r="M80" s="177"/>
    </row>
    <row r="81" spans="1:13" x14ac:dyDescent="0.25">
      <c r="A81" s="174"/>
      <c r="B81" s="176"/>
      <c r="C81" s="105" t="str">
        <f>+COMPRAS!G856</f>
        <v>Tira  Color Dorado Con Filos Negros De 7.5 Ancho</v>
      </c>
      <c r="D81" s="105">
        <f>+COMPRAS!D856</f>
        <v>49</v>
      </c>
      <c r="E81" s="106">
        <f>+COMPRAS!H856</f>
        <v>3.15</v>
      </c>
      <c r="F81" s="106">
        <f t="shared" si="47"/>
        <v>154.35</v>
      </c>
      <c r="G81" s="105"/>
      <c r="H81" s="105"/>
      <c r="I81" s="105"/>
      <c r="J81" s="105">
        <f t="shared" si="48"/>
        <v>492</v>
      </c>
      <c r="K81" s="106">
        <f t="shared" si="38"/>
        <v>3.2623329268292678</v>
      </c>
      <c r="L81" s="106">
        <f t="shared" si="49"/>
        <v>1605.0677999999998</v>
      </c>
      <c r="M81" s="177"/>
    </row>
    <row r="82" spans="1:13" x14ac:dyDescent="0.25">
      <c r="A82" s="174"/>
      <c r="B82" s="176"/>
      <c r="C82" s="105" t="str">
        <f>+COMPRAS!G857</f>
        <v>Blanca Estucada Semimate</v>
      </c>
      <c r="D82" s="105">
        <f>+COMPRAS!D857</f>
        <v>12.2</v>
      </c>
      <c r="E82" s="106">
        <f>+COMPRAS!H857</f>
        <v>1.25</v>
      </c>
      <c r="F82" s="106">
        <f t="shared" si="47"/>
        <v>15.25</v>
      </c>
      <c r="G82" s="105"/>
      <c r="H82" s="105"/>
      <c r="I82" s="105"/>
      <c r="J82" s="105">
        <f t="shared" si="48"/>
        <v>122.00000000000001</v>
      </c>
      <c r="K82" s="106">
        <f t="shared" si="38"/>
        <v>1.2499999999999998</v>
      </c>
      <c r="L82" s="106">
        <f t="shared" si="49"/>
        <v>152.5</v>
      </c>
      <c r="M82" s="177"/>
    </row>
    <row r="83" spans="1:13" x14ac:dyDescent="0.25">
      <c r="A83" s="178">
        <f>+COMPRAS!C884</f>
        <v>43510</v>
      </c>
      <c r="B83" s="180" t="str">
        <f>+CONCATENATE(COMPRAS!C874," ",COMPRAS!C885,"-",COMPRAS!C886,"-",COMPRAS!C887)</f>
        <v>FACTURA COMPRA # 33 001-001-128</v>
      </c>
      <c r="C83" s="107" t="str">
        <f>+COMPRAS!G877</f>
        <v>ACEITE DE VASELINA GL.QF</v>
      </c>
      <c r="D83" s="107">
        <f>+COMPRAS!D877</f>
        <v>61</v>
      </c>
      <c r="E83" s="108">
        <f>+COMPRAS!H877</f>
        <v>1.45</v>
      </c>
      <c r="F83" s="108">
        <f t="shared" si="47"/>
        <v>88.45</v>
      </c>
      <c r="G83" s="107"/>
      <c r="H83" s="107"/>
      <c r="I83" s="107"/>
      <c r="J83" s="107">
        <f>+J79+D83</f>
        <v>672</v>
      </c>
      <c r="K83" s="108">
        <f>+L83/J83</f>
        <v>1.4566071428571432</v>
      </c>
      <c r="L83" s="108">
        <f>+L79+F83</f>
        <v>978.84000000000026</v>
      </c>
      <c r="M83" s="177" t="s">
        <v>329</v>
      </c>
    </row>
    <row r="84" spans="1:13" x14ac:dyDescent="0.25">
      <c r="A84" s="179"/>
      <c r="B84" s="181"/>
      <c r="C84" s="107" t="str">
        <f>+COMPRAS!G878</f>
        <v>Bastidor</v>
      </c>
      <c r="D84" s="107">
        <f>+COMPRAS!D878</f>
        <v>56.21</v>
      </c>
      <c r="E84" s="108">
        <f>+COMPRAS!H878</f>
        <v>2.96</v>
      </c>
      <c r="F84" s="108">
        <f t="shared" ref="F84:F90" si="50">+D84*E84</f>
        <v>166.38159999999999</v>
      </c>
      <c r="G84" s="107"/>
      <c r="H84" s="107"/>
      <c r="I84" s="107"/>
      <c r="J84" s="107">
        <f t="shared" ref="J84:J86" si="51">+J80+D84</f>
        <v>637.30999999999995</v>
      </c>
      <c r="K84" s="108">
        <f t="shared" ref="K84:K94" si="52">+L84/J84</f>
        <v>2.8802720277416012</v>
      </c>
      <c r="L84" s="108">
        <f t="shared" ref="L84:L86" si="53">+L80+F84</f>
        <v>1835.6261659999996</v>
      </c>
      <c r="M84" s="177"/>
    </row>
    <row r="85" spans="1:13" x14ac:dyDescent="0.25">
      <c r="A85" s="179"/>
      <c r="B85" s="181"/>
      <c r="C85" s="107" t="str">
        <f>+COMPRAS!G879</f>
        <v>Tira  Color Dorado Con Filos Negros De 7.5 Ancho</v>
      </c>
      <c r="D85" s="107">
        <f>+COMPRAS!D879</f>
        <v>49</v>
      </c>
      <c r="E85" s="108">
        <f>+COMPRAS!H879</f>
        <v>3.15</v>
      </c>
      <c r="F85" s="108">
        <f t="shared" si="50"/>
        <v>154.35</v>
      </c>
      <c r="G85" s="107"/>
      <c r="H85" s="107"/>
      <c r="I85" s="107"/>
      <c r="J85" s="107">
        <f t="shared" si="51"/>
        <v>541</v>
      </c>
      <c r="K85" s="108">
        <f t="shared" si="52"/>
        <v>3.2521585951940843</v>
      </c>
      <c r="L85" s="108">
        <f t="shared" si="53"/>
        <v>1759.4177999999997</v>
      </c>
      <c r="M85" s="177"/>
    </row>
    <row r="86" spans="1:13" x14ac:dyDescent="0.25">
      <c r="A86" s="179"/>
      <c r="B86" s="181"/>
      <c r="C86" s="107" t="str">
        <f>+COMPRAS!G880</f>
        <v>Blanca Estucada Semimate</v>
      </c>
      <c r="D86" s="107">
        <f>+COMPRAS!D880</f>
        <v>12.2</v>
      </c>
      <c r="E86" s="108">
        <f>+COMPRAS!H880</f>
        <v>1.25</v>
      </c>
      <c r="F86" s="108">
        <f t="shared" si="50"/>
        <v>15.25</v>
      </c>
      <c r="G86" s="107"/>
      <c r="H86" s="107"/>
      <c r="I86" s="107"/>
      <c r="J86" s="107">
        <f t="shared" si="51"/>
        <v>134.20000000000002</v>
      </c>
      <c r="K86" s="108">
        <f t="shared" si="52"/>
        <v>1.2499999999999998</v>
      </c>
      <c r="L86" s="108">
        <f t="shared" si="53"/>
        <v>167.75</v>
      </c>
      <c r="M86" s="177"/>
    </row>
    <row r="87" spans="1:13" x14ac:dyDescent="0.25">
      <c r="A87" s="173">
        <f>+COMPRAS!C907</f>
        <v>43510</v>
      </c>
      <c r="B87" s="175" t="str">
        <f>+CONCATENATE(COMPRAS!C897," ",COMPRAS!C908,"-",COMPRAS!C909,"-",COMPRAS!C910)</f>
        <v>FACTURA COMPRA # 34 001-001-129</v>
      </c>
      <c r="C87" s="105" t="str">
        <f>+COMPRAS!G900</f>
        <v>Azúl Con Dorado</v>
      </c>
      <c r="D87" s="105">
        <f>+COMPRAS!D900</f>
        <v>118.47</v>
      </c>
      <c r="E87" s="106">
        <f>+COMPRAS!H900</f>
        <v>1.47</v>
      </c>
      <c r="F87" s="106">
        <f t="shared" si="50"/>
        <v>174.15090000000001</v>
      </c>
      <c r="G87" s="105"/>
      <c r="H87" s="105"/>
      <c r="I87" s="105"/>
      <c r="J87" s="105">
        <f>+J71+D87</f>
        <v>1184.7</v>
      </c>
      <c r="K87" s="106">
        <f>+L87/J87</f>
        <v>1.4700000000000004</v>
      </c>
      <c r="L87" s="106">
        <f>+L71+F87</f>
        <v>1741.5090000000005</v>
      </c>
      <c r="M87" s="177" t="s">
        <v>329</v>
      </c>
    </row>
    <row r="88" spans="1:13" x14ac:dyDescent="0.25">
      <c r="A88" s="174"/>
      <c r="B88" s="176"/>
      <c r="C88" s="105" t="str">
        <f>+COMPRAS!G901</f>
        <v>pino natural procesado con ceja izq</v>
      </c>
      <c r="D88" s="105">
        <f>+COMPRAS!D901</f>
        <v>249.58</v>
      </c>
      <c r="E88" s="106">
        <f>+COMPRAS!H901</f>
        <v>2.96</v>
      </c>
      <c r="F88" s="106">
        <f t="shared" ref="F88:F94" si="54">+D88*E88</f>
        <v>738.7568</v>
      </c>
      <c r="G88" s="105"/>
      <c r="H88" s="105"/>
      <c r="I88" s="105"/>
      <c r="J88" s="105">
        <f t="shared" ref="J88:J90" si="55">+J72+D88</f>
        <v>2495.7999999999997</v>
      </c>
      <c r="K88" s="106">
        <f t="shared" ref="K88:K90" si="56">+L88/J88</f>
        <v>2.9600000000000004</v>
      </c>
      <c r="L88" s="106">
        <f t="shared" ref="L88:L90" si="57">+L72+F88</f>
        <v>7387.5680000000002</v>
      </c>
      <c r="M88" s="177"/>
    </row>
    <row r="89" spans="1:13" x14ac:dyDescent="0.25">
      <c r="A89" s="174"/>
      <c r="B89" s="176"/>
      <c r="C89" s="105" t="str">
        <f>+COMPRAS!G902</f>
        <v>pino natural peq. Procesado ceja</v>
      </c>
      <c r="D89" s="105">
        <f>+COMPRAS!D902</f>
        <v>73.540000000000006</v>
      </c>
      <c r="E89" s="106">
        <f>+COMPRAS!H902</f>
        <v>3.15</v>
      </c>
      <c r="F89" s="106">
        <f t="shared" si="54"/>
        <v>231.65100000000001</v>
      </c>
      <c r="G89" s="105"/>
      <c r="H89" s="105"/>
      <c r="I89" s="105"/>
      <c r="J89" s="105">
        <f t="shared" si="55"/>
        <v>735.4</v>
      </c>
      <c r="K89" s="106">
        <f t="shared" si="56"/>
        <v>3.1500000000000004</v>
      </c>
      <c r="L89" s="106">
        <f t="shared" si="57"/>
        <v>2316.5100000000002</v>
      </c>
      <c r="M89" s="177"/>
    </row>
    <row r="90" spans="1:13" x14ac:dyDescent="0.25">
      <c r="A90" s="174"/>
      <c r="B90" s="176"/>
      <c r="C90" s="105" t="str">
        <f>+COMPRAS!G903</f>
        <v>pino natural procesado con ceja der</v>
      </c>
      <c r="D90" s="105">
        <f>+COMPRAS!D903</f>
        <v>29</v>
      </c>
      <c r="E90" s="106">
        <f>+COMPRAS!H903</f>
        <v>1.25</v>
      </c>
      <c r="F90" s="106">
        <f t="shared" si="54"/>
        <v>36.25</v>
      </c>
      <c r="G90" s="105"/>
      <c r="H90" s="105"/>
      <c r="I90" s="105"/>
      <c r="J90" s="105">
        <f t="shared" si="55"/>
        <v>290</v>
      </c>
      <c r="K90" s="106">
        <f t="shared" si="56"/>
        <v>1.25</v>
      </c>
      <c r="L90" s="106">
        <f t="shared" si="57"/>
        <v>362.5</v>
      </c>
      <c r="M90" s="177"/>
    </row>
    <row r="91" spans="1:13" x14ac:dyDescent="0.25">
      <c r="A91" s="178">
        <f>+COMPRAS!C930</f>
        <v>43510</v>
      </c>
      <c r="B91" s="180" t="str">
        <f>+CONCATENATE(COMPRAS!C920," ",COMPRAS!C931,"-",COMPRAS!C932,"-",COMPRAS!C933)</f>
        <v>FACTURA COMPRA # 35 001-001-130</v>
      </c>
      <c r="C91" s="107" t="str">
        <f>+COMPRAS!G923</f>
        <v>Azúl Con Dorado</v>
      </c>
      <c r="D91" s="107">
        <f>+COMPRAS!D923</f>
        <v>118.47</v>
      </c>
      <c r="E91" s="108">
        <f>+COMPRAS!H923</f>
        <v>1.47</v>
      </c>
      <c r="F91" s="108">
        <f t="shared" si="54"/>
        <v>174.15090000000001</v>
      </c>
      <c r="G91" s="107"/>
      <c r="H91" s="107"/>
      <c r="I91" s="107"/>
      <c r="J91" s="107">
        <f>+J87+D91</f>
        <v>1303.17</v>
      </c>
      <c r="K91" s="108">
        <f>+L91/J91</f>
        <v>1.4700000000000004</v>
      </c>
      <c r="L91" s="108">
        <f>+L87+F91</f>
        <v>1915.6599000000006</v>
      </c>
      <c r="M91" s="177" t="s">
        <v>329</v>
      </c>
    </row>
    <row r="92" spans="1:13" x14ac:dyDescent="0.25">
      <c r="A92" s="179"/>
      <c r="B92" s="181"/>
      <c r="C92" s="107" t="str">
        <f>+COMPRAS!G924</f>
        <v>pino natural procesado con ceja izq</v>
      </c>
      <c r="D92" s="107">
        <f>+COMPRAS!D924</f>
        <v>249.58</v>
      </c>
      <c r="E92" s="108">
        <f>+COMPRAS!H924</f>
        <v>2.96</v>
      </c>
      <c r="F92" s="108">
        <f t="shared" ref="F92:F98" si="58">+D92*E92</f>
        <v>738.7568</v>
      </c>
      <c r="G92" s="107"/>
      <c r="H92" s="107"/>
      <c r="I92" s="107"/>
      <c r="J92" s="107">
        <f t="shared" ref="J92:J94" si="59">+J88+D92</f>
        <v>2745.3799999999997</v>
      </c>
      <c r="K92" s="108">
        <f t="shared" ref="K92:K94" si="60">+L92/J92</f>
        <v>2.9600000000000004</v>
      </c>
      <c r="L92" s="108">
        <f t="shared" ref="L92:L94" si="61">+L88+F92</f>
        <v>8126.3248000000003</v>
      </c>
      <c r="M92" s="177"/>
    </row>
    <row r="93" spans="1:13" x14ac:dyDescent="0.25">
      <c r="A93" s="179"/>
      <c r="B93" s="181"/>
      <c r="C93" s="107" t="str">
        <f>+COMPRAS!G925</f>
        <v>pino natural peq. Procesado ceja</v>
      </c>
      <c r="D93" s="107">
        <f>+COMPRAS!D925</f>
        <v>73.540000000000006</v>
      </c>
      <c r="E93" s="108">
        <f>+COMPRAS!H925</f>
        <v>3.15</v>
      </c>
      <c r="F93" s="108">
        <f t="shared" si="58"/>
        <v>231.65100000000001</v>
      </c>
      <c r="G93" s="107"/>
      <c r="H93" s="107"/>
      <c r="I93" s="107"/>
      <c r="J93" s="107">
        <f t="shared" si="59"/>
        <v>808.93999999999994</v>
      </c>
      <c r="K93" s="108">
        <f t="shared" si="60"/>
        <v>3.1500000000000004</v>
      </c>
      <c r="L93" s="108">
        <f t="shared" si="61"/>
        <v>2548.1610000000001</v>
      </c>
      <c r="M93" s="177"/>
    </row>
    <row r="94" spans="1:13" x14ac:dyDescent="0.25">
      <c r="A94" s="179"/>
      <c r="B94" s="181"/>
      <c r="C94" s="107" t="str">
        <f>+COMPRAS!G926</f>
        <v>pino natural procesado con ceja der</v>
      </c>
      <c r="D94" s="107">
        <f>+COMPRAS!D926</f>
        <v>29</v>
      </c>
      <c r="E94" s="108">
        <f>+COMPRAS!H926</f>
        <v>1.25</v>
      </c>
      <c r="F94" s="108">
        <f t="shared" si="58"/>
        <v>36.25</v>
      </c>
      <c r="G94" s="107"/>
      <c r="H94" s="107"/>
      <c r="I94" s="107"/>
      <c r="J94" s="107">
        <f t="shared" si="59"/>
        <v>319</v>
      </c>
      <c r="K94" s="108">
        <f t="shared" si="60"/>
        <v>1.25</v>
      </c>
      <c r="L94" s="108">
        <f t="shared" si="61"/>
        <v>398.75</v>
      </c>
      <c r="M94" s="177"/>
    </row>
    <row r="95" spans="1:13" x14ac:dyDescent="0.25">
      <c r="A95" s="173">
        <f>+COMPRAS!C958</f>
        <v>43510</v>
      </c>
      <c r="B95" s="175" t="str">
        <f>+CONCATENATE(COMPRAS!C948," ",COMPRAS!C959,"-",COMPRAS!C960,"-",COMPRAS!C961)</f>
        <v>FACTURA COMPRA # 36 001-001-131</v>
      </c>
      <c r="C95" s="105" t="str">
        <f>+COMPRAS!G951</f>
        <v>Azúl Con Dorado</v>
      </c>
      <c r="D95" s="105">
        <f>+COMPRAS!D951</f>
        <v>118.47</v>
      </c>
      <c r="E95" s="106">
        <f>+COMPRAS!H951</f>
        <v>1.47</v>
      </c>
      <c r="F95" s="106">
        <f t="shared" si="58"/>
        <v>174.15090000000001</v>
      </c>
      <c r="G95" s="105"/>
      <c r="H95" s="105"/>
      <c r="I95" s="105"/>
      <c r="J95" s="105">
        <f>+J91+D95</f>
        <v>1421.64</v>
      </c>
      <c r="K95" s="106">
        <f>+L95/J95</f>
        <v>1.4700000000000004</v>
      </c>
      <c r="L95" s="106">
        <f>+L91+F95</f>
        <v>2089.8108000000007</v>
      </c>
      <c r="M95" s="177" t="s">
        <v>329</v>
      </c>
    </row>
    <row r="96" spans="1:13" x14ac:dyDescent="0.25">
      <c r="A96" s="174"/>
      <c r="B96" s="176"/>
      <c r="C96" s="105" t="str">
        <f>+COMPRAS!G952</f>
        <v>pino natural procesado con ceja izq</v>
      </c>
      <c r="D96" s="105">
        <f>+COMPRAS!D952</f>
        <v>249.58</v>
      </c>
      <c r="E96" s="106">
        <f>+COMPRAS!H952</f>
        <v>2.96</v>
      </c>
      <c r="F96" s="106">
        <f t="shared" ref="F96:F102" si="62">+D96*E96</f>
        <v>738.7568</v>
      </c>
      <c r="G96" s="105"/>
      <c r="H96" s="105"/>
      <c r="I96" s="105"/>
      <c r="J96" s="105">
        <f t="shared" ref="J96:J98" si="63">+J92+D96</f>
        <v>2994.9599999999996</v>
      </c>
      <c r="K96" s="106">
        <f t="shared" ref="K96:K98" si="64">+L96/J96</f>
        <v>2.9600000000000004</v>
      </c>
      <c r="L96" s="106">
        <f t="shared" ref="L96:L98" si="65">+L92+F96</f>
        <v>8865.0815999999995</v>
      </c>
      <c r="M96" s="177"/>
    </row>
    <row r="97" spans="1:13" x14ac:dyDescent="0.25">
      <c r="A97" s="174"/>
      <c r="B97" s="176"/>
      <c r="C97" s="105" t="str">
        <f>+COMPRAS!G953</f>
        <v>pino natural peq. Procesado ceja</v>
      </c>
      <c r="D97" s="105">
        <f>+COMPRAS!D953</f>
        <v>73.540000000000006</v>
      </c>
      <c r="E97" s="106">
        <f>+COMPRAS!H953</f>
        <v>3.15</v>
      </c>
      <c r="F97" s="106">
        <f t="shared" si="62"/>
        <v>231.65100000000001</v>
      </c>
      <c r="G97" s="105"/>
      <c r="H97" s="105"/>
      <c r="I97" s="105"/>
      <c r="J97" s="105">
        <f t="shared" si="63"/>
        <v>882.4799999999999</v>
      </c>
      <c r="K97" s="106">
        <f t="shared" si="64"/>
        <v>3.1500000000000004</v>
      </c>
      <c r="L97" s="106">
        <f t="shared" si="65"/>
        <v>2779.8119999999999</v>
      </c>
      <c r="M97" s="177"/>
    </row>
    <row r="98" spans="1:13" x14ac:dyDescent="0.25">
      <c r="A98" s="174"/>
      <c r="B98" s="176"/>
      <c r="C98" s="105" t="str">
        <f>+COMPRAS!G954</f>
        <v>pino natural procesado con ceja der</v>
      </c>
      <c r="D98" s="105">
        <f>+COMPRAS!D954</f>
        <v>29</v>
      </c>
      <c r="E98" s="106">
        <f>+COMPRAS!H954</f>
        <v>1.25</v>
      </c>
      <c r="F98" s="106">
        <f t="shared" si="62"/>
        <v>36.25</v>
      </c>
      <c r="G98" s="105"/>
      <c r="H98" s="105"/>
      <c r="I98" s="105"/>
      <c r="J98" s="105">
        <f t="shared" si="63"/>
        <v>348</v>
      </c>
      <c r="K98" s="106">
        <f t="shared" si="64"/>
        <v>1.25</v>
      </c>
      <c r="L98" s="106">
        <f t="shared" si="65"/>
        <v>435</v>
      </c>
      <c r="M98" s="177"/>
    </row>
    <row r="99" spans="1:13" x14ac:dyDescent="0.25">
      <c r="A99" s="178">
        <f>+VENTAS!C15</f>
        <v>43513</v>
      </c>
      <c r="B99" s="180" t="str">
        <f>+CONCATENATE(VENTAS!C6," ",VENTAS!C15,"-",VENTAS!C16,"-",VENTAS!C17)</f>
        <v>FACTURA VENTA # 1 43513-001-001</v>
      </c>
      <c r="C99" s="107" t="str">
        <f>+VENTAS!G9</f>
        <v>ACEITE DE VASELINA GL.QF</v>
      </c>
      <c r="D99" s="107"/>
      <c r="E99" s="107"/>
      <c r="F99" s="107"/>
      <c r="G99" s="107">
        <f>+VENTAS!D9</f>
        <v>15</v>
      </c>
      <c r="H99" s="108">
        <f>+K83</f>
        <v>1.4566071428571432</v>
      </c>
      <c r="I99" s="108">
        <f>+G99*H99</f>
        <v>21.849107142857147</v>
      </c>
      <c r="J99" s="107">
        <f>+J83-G99</f>
        <v>657</v>
      </c>
      <c r="K99" s="108">
        <f>+H99</f>
        <v>1.4566071428571432</v>
      </c>
      <c r="L99" s="108">
        <f>+L83-I99</f>
        <v>956.99089285714308</v>
      </c>
      <c r="M99" s="177" t="s">
        <v>329</v>
      </c>
    </row>
    <row r="100" spans="1:13" x14ac:dyDescent="0.25">
      <c r="A100" s="179"/>
      <c r="B100" s="181"/>
      <c r="C100" s="107" t="str">
        <f>+VENTAS!G10</f>
        <v>Bastidor</v>
      </c>
      <c r="D100" s="107"/>
      <c r="E100" s="107"/>
      <c r="F100" s="107"/>
      <c r="G100" s="107">
        <f>+VENTAS!D10</f>
        <v>12.37</v>
      </c>
      <c r="H100" s="108">
        <f t="shared" ref="H100:H102" si="66">+K84</f>
        <v>2.8802720277416012</v>
      </c>
      <c r="I100" s="108">
        <f t="shared" ref="I100:I102" si="67">+G100*H100</f>
        <v>35.628964983163605</v>
      </c>
      <c r="J100" s="107">
        <f t="shared" ref="J100:J102" si="68">+J84-G100</f>
        <v>624.93999999999994</v>
      </c>
      <c r="K100" s="108">
        <f t="shared" ref="K100:K102" si="69">+H100</f>
        <v>2.8802720277416012</v>
      </c>
      <c r="L100" s="108">
        <f t="shared" ref="L100:L102" si="70">+L84-I100</f>
        <v>1799.997201016836</v>
      </c>
      <c r="M100" s="177"/>
    </row>
    <row r="101" spans="1:13" x14ac:dyDescent="0.25">
      <c r="A101" s="179"/>
      <c r="B101" s="181"/>
      <c r="C101" s="107" t="str">
        <f>+VENTAS!G11</f>
        <v>Tira  Color Dorado Con Filos Negros De 7.5 Ancho</v>
      </c>
      <c r="D101" s="107"/>
      <c r="E101" s="107"/>
      <c r="F101" s="107"/>
      <c r="G101" s="107">
        <f>+VENTAS!D11</f>
        <v>22.46</v>
      </c>
      <c r="H101" s="108">
        <f t="shared" si="66"/>
        <v>3.2521585951940843</v>
      </c>
      <c r="I101" s="108">
        <f t="shared" si="67"/>
        <v>73.043482048059133</v>
      </c>
      <c r="J101" s="107">
        <f t="shared" si="68"/>
        <v>518.54</v>
      </c>
      <c r="K101" s="108">
        <f t="shared" si="69"/>
        <v>3.2521585951940843</v>
      </c>
      <c r="L101" s="108">
        <f t="shared" si="70"/>
        <v>1686.3743179519406</v>
      </c>
      <c r="M101" s="177"/>
    </row>
    <row r="102" spans="1:13" x14ac:dyDescent="0.25">
      <c r="A102" s="179"/>
      <c r="B102" s="181"/>
      <c r="C102" s="107" t="str">
        <f>+VENTAS!G12</f>
        <v>Blanca Estucada Semimate</v>
      </c>
      <c r="D102" s="107"/>
      <c r="E102" s="107"/>
      <c r="F102" s="107"/>
      <c r="G102" s="107">
        <f>+VENTAS!D12</f>
        <v>8.67</v>
      </c>
      <c r="H102" s="108">
        <f t="shared" si="66"/>
        <v>1.2499999999999998</v>
      </c>
      <c r="I102" s="108">
        <f t="shared" si="67"/>
        <v>10.837499999999999</v>
      </c>
      <c r="J102" s="107">
        <f t="shared" si="68"/>
        <v>125.53000000000002</v>
      </c>
      <c r="K102" s="108">
        <f t="shared" si="69"/>
        <v>1.2499999999999998</v>
      </c>
      <c r="L102" s="108">
        <f t="shared" si="70"/>
        <v>156.91249999999999</v>
      </c>
      <c r="M102" s="177"/>
    </row>
  </sheetData>
  <autoFilter ref="A2:M102" xr:uid="{F7D9C15A-4E28-41BE-912D-DC8E60465EF6}"/>
  <mergeCells count="79">
    <mergeCell ref="A95:A98"/>
    <mergeCell ref="B95:B98"/>
    <mergeCell ref="M95:M98"/>
    <mergeCell ref="A99:A102"/>
    <mergeCell ref="B99:B102"/>
    <mergeCell ref="M99:M102"/>
    <mergeCell ref="A87:A90"/>
    <mergeCell ref="B87:B90"/>
    <mergeCell ref="M87:M90"/>
    <mergeCell ref="A91:A94"/>
    <mergeCell ref="B91:B94"/>
    <mergeCell ref="M91:M94"/>
    <mergeCell ref="A79:A82"/>
    <mergeCell ref="B79:B82"/>
    <mergeCell ref="M79:M82"/>
    <mergeCell ref="A83:A86"/>
    <mergeCell ref="B83:B86"/>
    <mergeCell ref="M83:M86"/>
    <mergeCell ref="A71:A74"/>
    <mergeCell ref="B71:B74"/>
    <mergeCell ref="M71:M74"/>
    <mergeCell ref="A75:A78"/>
    <mergeCell ref="B75:B78"/>
    <mergeCell ref="M75:M78"/>
    <mergeCell ref="A63:A66"/>
    <mergeCell ref="B63:B66"/>
    <mergeCell ref="M63:M66"/>
    <mergeCell ref="A67:A70"/>
    <mergeCell ref="B67:B70"/>
    <mergeCell ref="M67:M70"/>
    <mergeCell ref="A55:A58"/>
    <mergeCell ref="B55:B58"/>
    <mergeCell ref="M55:M58"/>
    <mergeCell ref="A59:A62"/>
    <mergeCell ref="B59:B62"/>
    <mergeCell ref="M59:M62"/>
    <mergeCell ref="A47:A50"/>
    <mergeCell ref="B47:B50"/>
    <mergeCell ref="M47:M50"/>
    <mergeCell ref="A51:A54"/>
    <mergeCell ref="B51:B54"/>
    <mergeCell ref="M51:M54"/>
    <mergeCell ref="A39:A42"/>
    <mergeCell ref="B39:B42"/>
    <mergeCell ref="M39:M42"/>
    <mergeCell ref="A43:A46"/>
    <mergeCell ref="B43:B46"/>
    <mergeCell ref="M43:M46"/>
    <mergeCell ref="A1:C1"/>
    <mergeCell ref="D1:F1"/>
    <mergeCell ref="G1:I1"/>
    <mergeCell ref="J1:L1"/>
    <mergeCell ref="A3:A6"/>
    <mergeCell ref="B3:B6"/>
    <mergeCell ref="M3:M6"/>
    <mergeCell ref="A7:A10"/>
    <mergeCell ref="B7:B10"/>
    <mergeCell ref="M7:M10"/>
    <mergeCell ref="A11:A14"/>
    <mergeCell ref="B11:B14"/>
    <mergeCell ref="M11:M14"/>
    <mergeCell ref="A15:A18"/>
    <mergeCell ref="B15:B18"/>
    <mergeCell ref="M15:M18"/>
    <mergeCell ref="A19:A22"/>
    <mergeCell ref="B19:B22"/>
    <mergeCell ref="M19:M22"/>
    <mergeCell ref="A23:A26"/>
    <mergeCell ref="B23:B26"/>
    <mergeCell ref="M23:M26"/>
    <mergeCell ref="A27:A30"/>
    <mergeCell ref="B27:B30"/>
    <mergeCell ref="M27:M30"/>
    <mergeCell ref="A31:A34"/>
    <mergeCell ref="B31:B34"/>
    <mergeCell ref="M31:M34"/>
    <mergeCell ref="A35:A38"/>
    <mergeCell ref="B35:B38"/>
    <mergeCell ref="M35:M38"/>
  </mergeCells>
  <hyperlinks>
    <hyperlink ref="M3:M6" location="FACTURA_COMPRA___1" display="REGRESAR A FACTURA" xr:uid="{10471429-EF0B-44B4-9E11-4D1ED3BABACC}"/>
    <hyperlink ref="M7:M10" location="FACTURA_COMPRA___2" display="REGRESAR A FACTURA" xr:uid="{048BB566-EBDF-4A67-B3AC-2A080409501A}"/>
    <hyperlink ref="M11:M14" location="FACTURA_COMPRA___3" display="REGRESAR A FACTURA" xr:uid="{F18891A4-30BE-4F49-B85C-4681ACE57ADF}"/>
    <hyperlink ref="M15:M18" location="FACTURA_COMPRA___4" display="REGRESAR A FACTURA" xr:uid="{6694A046-71C0-48E6-8F52-1025DC0EF0CE}"/>
    <hyperlink ref="M19:M22" location="FACTURA_COMPRA___5" display="REGRESAR A FACTURA" xr:uid="{E3E26F39-83D0-42CB-9D5F-968AC72D51A1}"/>
    <hyperlink ref="M23:M26" location="FACTURA_COMPRA___6" display="REGRESAR A FACTURA" xr:uid="{C3ABEAB6-D204-4366-9558-646A8F5A805D}"/>
    <hyperlink ref="M27:M30" location="FACTURA_COMPRA___7" display="REGRESAR A FACTURA" xr:uid="{77C07A91-528D-4959-B31C-73A7816C179A}"/>
    <hyperlink ref="M31:M34" location="FACTURA_COMPRA___8" display="REGRESAR A FACTURA" xr:uid="{40FC140C-E107-49ED-A17F-F6D66D099CDE}"/>
    <hyperlink ref="M35:M38" location="FACTURA_COMPRA___9" display="REGRESAR A FACTURA" xr:uid="{3A328D32-1F1E-453F-8B51-F90D3F30A0C8}"/>
    <hyperlink ref="M39:M42" location="FACTURA_COMPRA___10" display="REGRESAR A FACTURA" xr:uid="{A551256F-FFF1-4AAA-8C76-547CC65AFA92}"/>
    <hyperlink ref="M43:M46" location="FACTURA_COMPRA___11" display="REGRESAR A FACTURA" xr:uid="{89AD03DD-AC15-41F3-961B-28D7FF89AE19}"/>
    <hyperlink ref="M47:M50" location="FACTURA_COMPRA___12" display="REGRESAR A FACTURA" xr:uid="{59049B4D-5101-417A-8694-E9A20DA76930}"/>
    <hyperlink ref="M51:M54" location="FACTURA_COMPRA___25" display="REGRESAR A FACTURA" xr:uid="{C0CC61CF-4BFA-411E-AAFC-D603DCB9ED79}"/>
    <hyperlink ref="M55:M58" location="FACTURA_COMPRA___26" display="REGRESAR A FACTURA" xr:uid="{F3A65C73-4F7D-4B13-A6AC-873C0222E39A}"/>
    <hyperlink ref="M59:M62" location="FACTURA_COMPRA___27" display="REGRESAR A FACTURA" xr:uid="{45F6046E-22A5-4ED5-9AF3-A9FBA8466714}"/>
    <hyperlink ref="M63:M66" location="FACTURA_COMPRA___28" display="REGRESAR A FACTURA" xr:uid="{134BB86C-A697-4682-838C-9859D12A0FF6}"/>
    <hyperlink ref="M67:M70" location="FACTURA_COMPRA___29" display="REGRESAR A FACTURA" xr:uid="{BFA1E6C1-ECF4-4EA3-B8A6-1470746CB2E7}"/>
    <hyperlink ref="M71:M74" location="FACTURA_COMPRA___30" display="REGRESAR A FACTURA" xr:uid="{FB12AF0C-2639-495C-9DB3-DFC70FCACFFD}"/>
    <hyperlink ref="M75:M78" location="FACTURA_COMPRA___31" display="REGRESAR A FACTURA" xr:uid="{A11EAEDC-E5C9-4E2F-A2A7-31B8667C845C}"/>
    <hyperlink ref="M79:M82" location="FACTURA_COMPRA___32" display="REGRESAR A FACTURA" xr:uid="{193DCE70-688F-4160-8F1E-EE1C93D8E4A7}"/>
    <hyperlink ref="M83:M86" location="FACTURA_COMPRA___33" display="REGRESAR A FACTURA" xr:uid="{EED25AC2-1EFC-4CE5-AABE-8975EBAB498B}"/>
    <hyperlink ref="M87:M90" location="FACTURA_COMPRA___34" display="REGRESAR A FACTURA" xr:uid="{37A5544E-2B56-40D4-8F1C-9F7562D06A6B}"/>
    <hyperlink ref="M91:M94" location="FACTURA_COMPRA___35" display="REGRESAR A FACTURA" xr:uid="{BAE3F11D-AE44-4290-8083-70CA20E48287}"/>
    <hyperlink ref="M95:M98" location="FACTURA_COMPRA___36" display="REGRESAR A FACTURA" xr:uid="{403A8C09-AEA6-4DCD-9B51-DD96DB4DD49E}"/>
    <hyperlink ref="M99:M102" location="FACTURA_COMPRA___35" display="REGRESAR A FACTURA" xr:uid="{08EFE085-9871-41D9-9F1D-1A65CF5471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116</vt:i4>
      </vt:variant>
    </vt:vector>
  </HeadingPairs>
  <TitlesOfParts>
    <vt:vector size="123" baseType="lpstr">
      <vt:lpstr>PRODUCTOS</vt:lpstr>
      <vt:lpstr>FACTURA COMPRA</vt:lpstr>
      <vt:lpstr>COMPRAS</vt:lpstr>
      <vt:lpstr>VENTAS</vt:lpstr>
      <vt:lpstr>LIBRO DIARIO</vt:lpstr>
      <vt:lpstr>Hoja4</vt:lpstr>
      <vt:lpstr>KARDEX</vt:lpstr>
      <vt:lpstr>ASIENTO_FAC_COMPRA_1</vt:lpstr>
      <vt:lpstr>ASIENTO_FAC_COMPRA_10</vt:lpstr>
      <vt:lpstr>ASIENTO_FAC_COMPRA_11</vt:lpstr>
      <vt:lpstr>ASIENTO_FAC_COMPRA_12</vt:lpstr>
      <vt:lpstr>ASIENTO_FAC_COMPRA_13</vt:lpstr>
      <vt:lpstr>ASIENTO_FAC_COMPRA_14</vt:lpstr>
      <vt:lpstr>ASIENTO_FAC_COMPRA_15</vt:lpstr>
      <vt:lpstr>ASIENTO_FAC_COMPRA_16</vt:lpstr>
      <vt:lpstr>ASIENTO_FAC_COMPRA_17</vt:lpstr>
      <vt:lpstr>ASIENTO_FAC_COMPRA_18</vt:lpstr>
      <vt:lpstr>ASIENTO_FAC_COMPRA_19</vt:lpstr>
      <vt:lpstr>ASIENTO_FAC_COMPRA_2</vt:lpstr>
      <vt:lpstr>ASIENTO_FAC_COMPRA_20</vt:lpstr>
      <vt:lpstr>ASIENTO_FAC_COMPRA_21</vt:lpstr>
      <vt:lpstr>ASIENTO_FAC_COMPRA_22</vt:lpstr>
      <vt:lpstr>ASIENTO_FAC_COMPRA_23</vt:lpstr>
      <vt:lpstr>ASIENTO_FAC_COMPRA_24</vt:lpstr>
      <vt:lpstr>ASIENTO_FAC_COMPRA_25</vt:lpstr>
      <vt:lpstr>ASIENTO_FAC_COMPRA_26</vt:lpstr>
      <vt:lpstr>ASIENTO_FAC_COMPRA_27</vt:lpstr>
      <vt:lpstr>ASIENTO_FAC_COMPRA_28</vt:lpstr>
      <vt:lpstr>ASIENTO_FAC_COMPRA_29</vt:lpstr>
      <vt:lpstr>ASIENTO_FAC_COMPRA_3</vt:lpstr>
      <vt:lpstr>ASIENTO_FAC_COMPRA_30</vt:lpstr>
      <vt:lpstr>ASIENTO_FAC_COMPRA_31</vt:lpstr>
      <vt:lpstr>ASIENTO_FAC_COMPRA_32</vt:lpstr>
      <vt:lpstr>ASIENTO_FAC_COMPRA_33</vt:lpstr>
      <vt:lpstr>ASIENTO_FAC_COMPRA_34</vt:lpstr>
      <vt:lpstr>ASIENTO_FAC_COMPRA_35</vt:lpstr>
      <vt:lpstr>ASIENTO_FAC_COMPRA_36</vt:lpstr>
      <vt:lpstr>ASIENTO_FAC_COMPRA_37</vt:lpstr>
      <vt:lpstr>ASIENTO_FAC_COMPRA_38</vt:lpstr>
      <vt:lpstr>ASIENTO_FAC_COMPRA_39</vt:lpstr>
      <vt:lpstr>ASIENTO_FAC_COMPRA_4</vt:lpstr>
      <vt:lpstr>ASIENTO_FAC_COMPRA_40</vt:lpstr>
      <vt:lpstr>ASIENTO_FAC_COMPRA_41</vt:lpstr>
      <vt:lpstr>ASIENTO_FAC_COMPRA_42</vt:lpstr>
      <vt:lpstr>ASIENTO_FAC_COMPRA_5</vt:lpstr>
      <vt:lpstr>ASIENTO_FAC_COMPRA_6</vt:lpstr>
      <vt:lpstr>ASIENTO_FAC_COMPRA_7</vt:lpstr>
      <vt:lpstr>ASIENTO_FAC_COMPRA_8</vt:lpstr>
      <vt:lpstr>ASIENTO_FAC_COMPRA_9</vt:lpstr>
      <vt:lpstr>FACTURA_COMPRA___1</vt:lpstr>
      <vt:lpstr>FACTURA_COMPRA___10</vt:lpstr>
      <vt:lpstr>FACTURA_COMPRA___11</vt:lpstr>
      <vt:lpstr>FACTURA_COMPRA___12</vt:lpstr>
      <vt:lpstr>FACTURA_COMPRA___13</vt:lpstr>
      <vt:lpstr>FACTURA_COMPRA___14</vt:lpstr>
      <vt:lpstr>FACTURA_COMPRA___15</vt:lpstr>
      <vt:lpstr>FACTURA_COMPRA___16</vt:lpstr>
      <vt:lpstr>FACTURA_COMPRA___17</vt:lpstr>
      <vt:lpstr>FACTURA_COMPRA___18</vt:lpstr>
      <vt:lpstr>FACTURA_COMPRA___19</vt:lpstr>
      <vt:lpstr>FACTURA_COMPRA___2</vt:lpstr>
      <vt:lpstr>FACTURA_COMPRA___20</vt:lpstr>
      <vt:lpstr>FACTURA_COMPRA___21</vt:lpstr>
      <vt:lpstr>FACTURA_COMPRA___22</vt:lpstr>
      <vt:lpstr>FACTURA_COMPRA___23</vt:lpstr>
      <vt:lpstr>FACTURA_COMPRA___24</vt:lpstr>
      <vt:lpstr>FACTURA_COMPRA___25</vt:lpstr>
      <vt:lpstr>FACTURA_COMPRA___26</vt:lpstr>
      <vt:lpstr>FACTURA_COMPRA___27</vt:lpstr>
      <vt:lpstr>FACTURA_COMPRA___28</vt:lpstr>
      <vt:lpstr>FACTURA_COMPRA___29</vt:lpstr>
      <vt:lpstr>FACTURA_COMPRA___3</vt:lpstr>
      <vt:lpstr>FACTURA_COMPRA___30</vt:lpstr>
      <vt:lpstr>FACTURA_COMPRA___31</vt:lpstr>
      <vt:lpstr>FACTURA_COMPRA___32</vt:lpstr>
      <vt:lpstr>FACTURA_COMPRA___33</vt:lpstr>
      <vt:lpstr>FACTURA_COMPRA___34</vt:lpstr>
      <vt:lpstr>FACTURA_COMPRA___35</vt:lpstr>
      <vt:lpstr>FACTURA_COMPRA___36</vt:lpstr>
      <vt:lpstr>FACTURA_COMPRA___37</vt:lpstr>
      <vt:lpstr>FACTURA_COMPRA___38</vt:lpstr>
      <vt:lpstr>FACTURA_COMPRA___39</vt:lpstr>
      <vt:lpstr>FACTURA_COMPRA___4</vt:lpstr>
      <vt:lpstr>FACTURA_COMPRA___40</vt:lpstr>
      <vt:lpstr>FACTURA_COMPRA___41</vt:lpstr>
      <vt:lpstr>FACTURA_COMPRA___42</vt:lpstr>
      <vt:lpstr>FACTURA_COMPRA___43</vt:lpstr>
      <vt:lpstr>FACTURA_COMPRA___44</vt:lpstr>
      <vt:lpstr>FACTURA_COMPRA___45</vt:lpstr>
      <vt:lpstr>FACTURA_COMPRA___46</vt:lpstr>
      <vt:lpstr>FACTURA_COMPRA___47</vt:lpstr>
      <vt:lpstr>FACTURA_COMPRA___48</vt:lpstr>
      <vt:lpstr>FACTURA_COMPRA___5</vt:lpstr>
      <vt:lpstr>FACTURA_COMPRA___6</vt:lpstr>
      <vt:lpstr>FACTURA_COMPRA___7</vt:lpstr>
      <vt:lpstr>FACTURA_COMPRA___8</vt:lpstr>
      <vt:lpstr>FACTURA_COMPRA___9</vt:lpstr>
      <vt:lpstr>FACTURA_VENTA___1</vt:lpstr>
      <vt:lpstr>FACTURA_VENTA___2</vt:lpstr>
      <vt:lpstr>KARDEX_FAC_COMP_1</vt:lpstr>
      <vt:lpstr>KARDEX_FAC_COMP_10</vt:lpstr>
      <vt:lpstr>KARDEX_FAC_COMP_11</vt:lpstr>
      <vt:lpstr>KARDEX_FAC_COMP_12</vt:lpstr>
      <vt:lpstr>KARDEX_FAC_COMP_2</vt:lpstr>
      <vt:lpstr>KARDEX_FAC_COMP_25</vt:lpstr>
      <vt:lpstr>KARDEX_FAC_COMP_26</vt:lpstr>
      <vt:lpstr>KARDEX_FAC_COMP_27</vt:lpstr>
      <vt:lpstr>KARDEX_FAC_COMP_28</vt:lpstr>
      <vt:lpstr>KARDEX_FAC_COMP_29</vt:lpstr>
      <vt:lpstr>KARDEX_FAC_COMP_3</vt:lpstr>
      <vt:lpstr>KARDEX_FAC_COMP_30</vt:lpstr>
      <vt:lpstr>KARDEX_FAC_COMP_31</vt:lpstr>
      <vt:lpstr>KARDEX_FAC_COMP_32</vt:lpstr>
      <vt:lpstr>KARDEX_FAC_COMP_33</vt:lpstr>
      <vt:lpstr>KARDEX_FAC_COMP_34</vt:lpstr>
      <vt:lpstr>KARDEX_FAC_COMP_35</vt:lpstr>
      <vt:lpstr>KARDEX_FAC_COMP_36</vt:lpstr>
      <vt:lpstr>KARDEX_FAC_COMP_4</vt:lpstr>
      <vt:lpstr>KARDEX_FAC_COMP_5</vt:lpstr>
      <vt:lpstr>KARDEX_FAC_COMP_6</vt:lpstr>
      <vt:lpstr>KARDEX_FAC_COMP_7</vt:lpstr>
      <vt:lpstr>KARDEX_FAC_COMP_8</vt:lpstr>
      <vt:lpstr>KARDEX_FAC_COMP_9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Meetclic</dc:creator>
  <cp:lastModifiedBy>Meetclic</cp:lastModifiedBy>
  <dcterms:created xsi:type="dcterms:W3CDTF">2019-05-08T16:06:52Z</dcterms:created>
  <dcterms:modified xsi:type="dcterms:W3CDTF">2019-05-17T04:18:39Z</dcterms:modified>
</cp:coreProperties>
</file>